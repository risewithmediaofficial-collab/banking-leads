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bookViews>
    <workbookView xWindow="0" yWindow="0" windowWidth="28800" windowHeight="11835" tabRatio="616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M60" i="1" l="1"/>
  <c r="B38" i="1" l="1"/>
  <c r="B31" i="1"/>
  <c r="B32" i="1" s="1"/>
  <c r="B33" i="1" s="1"/>
  <c r="B34" i="1" s="1"/>
  <c r="B35" i="1" s="1"/>
  <c r="B36" i="1" s="1"/>
  <c r="B39" i="1" l="1"/>
  <c r="B40" i="1" s="1"/>
  <c r="B41" i="1" s="1"/>
</calcChain>
</file>

<file path=xl/sharedStrings.xml><?xml version="1.0" encoding="utf-8"?>
<sst xmlns="http://schemas.openxmlformats.org/spreadsheetml/2006/main" count="167" uniqueCount="107">
  <si>
    <t>S.No</t>
  </si>
  <si>
    <t>VENDOR BILL</t>
  </si>
  <si>
    <t>To,</t>
  </si>
  <si>
    <t>Ujjivan Small Finance bank,</t>
  </si>
  <si>
    <t>No-30/3-2, Mullai Nagar,</t>
  </si>
  <si>
    <t>Salem Main Road,</t>
  </si>
  <si>
    <t>Suramangalam, Salem – 636 005</t>
  </si>
  <si>
    <t>Details of associated cases as below,</t>
  </si>
  <si>
    <t>Date of Opinion</t>
  </si>
  <si>
    <t>Customet Name</t>
  </si>
  <si>
    <t>Customer ID</t>
  </si>
  <si>
    <t>Opinion Fee in Rs.</t>
  </si>
  <si>
    <t xml:space="preserve">Additional
Fee in Rs. (Above 60 Kms.) Rs. 250
</t>
  </si>
  <si>
    <t>Total in Rs.</t>
  </si>
  <si>
    <t>--</t>
  </si>
  <si>
    <t>JOB CARD NOS.</t>
  </si>
  <si>
    <t>K</t>
  </si>
  <si>
    <t xml:space="preserve">Krishnagiri Branch </t>
  </si>
  <si>
    <t>Palacode Branch</t>
  </si>
  <si>
    <t>Dharmapuri Branch</t>
  </si>
  <si>
    <t>Hosur Branch</t>
  </si>
  <si>
    <t>H</t>
  </si>
  <si>
    <t>T</t>
  </si>
  <si>
    <t xml:space="preserve"> </t>
  </si>
  <si>
    <t>Ambur Branch</t>
  </si>
  <si>
    <t>Vaniyambadi</t>
  </si>
  <si>
    <t>1181 8000000 1096</t>
  </si>
  <si>
    <t>115 660000002092</t>
  </si>
  <si>
    <t>10.06.2026</t>
  </si>
  <si>
    <t>Date: 01.07.2026</t>
  </si>
  <si>
    <t>Invoice No: 06MLP/JUNE/2026</t>
  </si>
  <si>
    <t>Sub: Bill for the Month of June and Year of 2026</t>
  </si>
  <si>
    <t>115 660000002108</t>
  </si>
  <si>
    <t>13.06.2026</t>
  </si>
  <si>
    <t>115 660000002152</t>
  </si>
  <si>
    <t>01.07.2026</t>
  </si>
  <si>
    <t>30.06.2026</t>
  </si>
  <si>
    <t>06.06.2026</t>
  </si>
  <si>
    <t>115 870000001844</t>
  </si>
  <si>
    <t>08.06.2026</t>
  </si>
  <si>
    <t>115 870000001879</t>
  </si>
  <si>
    <t>115 870000001847</t>
  </si>
  <si>
    <t>Mr. KAREEM ABDULLA</t>
  </si>
  <si>
    <t>Mr. UMAPATHY SRINIVASAN</t>
  </si>
  <si>
    <t xml:space="preserve">SASIKALA SARAVANAN </t>
  </si>
  <si>
    <t>Ms. SANGEETHA RAMASAMY</t>
  </si>
  <si>
    <t xml:space="preserve">Mr. VASANTHAKUMAR ANGURAJ </t>
  </si>
  <si>
    <t>Mrs. SELVI MADHAPPAN</t>
  </si>
  <si>
    <t>15.06.2026</t>
  </si>
  <si>
    <t xml:space="preserve">115 870000001905
</t>
  </si>
  <si>
    <t>Mr. BASVARAJ SUBRAMANI</t>
  </si>
  <si>
    <t>18.06.2026</t>
  </si>
  <si>
    <t>22.06.2026</t>
  </si>
  <si>
    <t>115 870000001907</t>
  </si>
  <si>
    <t>Mr. KARTHICK</t>
  </si>
  <si>
    <t>115 870000001560</t>
  </si>
  <si>
    <t>24.06.2026</t>
  </si>
  <si>
    <t>Mr. ASAITHAMBI BALASUBRAMANIYAM</t>
  </si>
  <si>
    <t>115 670000001523</t>
  </si>
  <si>
    <t>Mrs. DEEPA R</t>
  </si>
  <si>
    <t>03.06.2026</t>
  </si>
  <si>
    <t>115 670000001555</t>
  </si>
  <si>
    <t>Mr. DEEPANKUMAR PALANISAMI</t>
  </si>
  <si>
    <t>115 670000001548</t>
  </si>
  <si>
    <t>Mrs.VIJIYALAKSHMI K</t>
  </si>
  <si>
    <t>115 670000001545</t>
  </si>
  <si>
    <t>Mrs. PAZHANIYAMMAL CHINNASAMI</t>
  </si>
  <si>
    <t>09.06.2026</t>
  </si>
  <si>
    <t>115 670000001547</t>
  </si>
  <si>
    <t>Mr. PALANISAMY KAVERI</t>
  </si>
  <si>
    <t>115 670000001582</t>
  </si>
  <si>
    <t>Mr. SURESH KANNAMANI</t>
  </si>
  <si>
    <t>17.06.2026</t>
  </si>
  <si>
    <t>115 670000001591</t>
  </si>
  <si>
    <t>Mr.ANGAPPAN POONGAN</t>
  </si>
  <si>
    <t>115 670000001605</t>
  </si>
  <si>
    <t>Mr. MUNIRATHINAM SUBRAMANIYAM</t>
  </si>
  <si>
    <t>115 670000001632</t>
  </si>
  <si>
    <t>Mr. SARAVANAN KRISHNAN</t>
  </si>
  <si>
    <t>Mr. HARISH KUMAR</t>
  </si>
  <si>
    <t>02.06.2026</t>
  </si>
  <si>
    <t>05.06.2026</t>
  </si>
  <si>
    <t>Mr. CHANDRAN</t>
  </si>
  <si>
    <t>1155 00000000827</t>
  </si>
  <si>
    <t>1181 80000001148</t>
  </si>
  <si>
    <t>Mr. MURALI KUPPUSAMY</t>
  </si>
  <si>
    <t>1155 00000000852</t>
  </si>
  <si>
    <t>Mrs. V. SANTHI</t>
  </si>
  <si>
    <t>27.05.2026</t>
  </si>
  <si>
    <t>Thenkaraikottai</t>
  </si>
  <si>
    <t>1175 70000000221</t>
  </si>
  <si>
    <t>Mr.SATHYAMOORTHY PRIYASAMY</t>
  </si>
  <si>
    <t xml:space="preserve">Mr. VISHNU RAMAKRISHNAN            </t>
  </si>
  <si>
    <t>115 390000001238</t>
  </si>
  <si>
    <t>04.06.2026</t>
  </si>
  <si>
    <t>115 390000001281</t>
  </si>
  <si>
    <t xml:space="preserve">Mr. VIJAY RAVISHANKAR </t>
  </si>
  <si>
    <t>115 390000001250</t>
  </si>
  <si>
    <t>Mrs. VANITHA MANI</t>
  </si>
  <si>
    <t>115 500000000838</t>
  </si>
  <si>
    <t>Mr. SHAMEEL AHMED H</t>
  </si>
  <si>
    <t>12.06.2026</t>
  </si>
  <si>
    <t xml:space="preserve">TOTAL  (Rupees thirty nine thousand and seven hundred fifty only)
</t>
  </si>
  <si>
    <t xml:space="preserve">ACCOUNT NO.      : </t>
  </si>
  <si>
    <t xml:space="preserve">IFSC CODE            : </t>
  </si>
  <si>
    <t xml:space="preserve">BRANCH                : </t>
  </si>
  <si>
    <t xml:space="preserve">PAN No.                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</si>
</sst>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\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2" fontId="0" fillId="0" borderId="0" xfId="0" applyNumberFormat="1" applyBorder="1" applyAlignment="1">
      <alignment horizontal="right" vertical="center" wrapText="1"/>
    </xf>
    <xf numFmtId="0" fontId="2" fillId="0" borderId="0" xfId="0" applyFont="1" applyBorder="1" applyAlignment="1">
      <alignment vertical="center"/>
    </xf>
    <xf numFmtId="0" fontId="0" fillId="0" borderId="0" xfId="0" applyBorder="1"/>
    <xf numFmtId="2" fontId="0" fillId="0" borderId="0" xfId="0" applyNumberFormat="1" applyBorder="1" applyAlignment="1">
      <alignment horizontal="right"/>
    </xf>
    <xf numFmtId="0" fontId="1" fillId="0" borderId="0" xfId="0" applyFont="1" applyFill="1" applyBorder="1" applyAlignment="1">
      <alignment wrapText="1"/>
    </xf>
    <xf numFmtId="0" fontId="3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2" fontId="1" fillId="0" borderId="1" xfId="0" quotePrefix="1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/>
    </xf>
    <xf numFmtId="2" fontId="1" fillId="2" borderId="1" xfId="0" quotePrefix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2" fillId="2" borderId="11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left" vertical="center"/>
    </xf>
    <xf numFmtId="2" fontId="2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/>
    <xf numFmtId="0" fontId="0" fillId="0" borderId="0" xfId="0" applyFont="1" applyFill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5" fillId="0" borderId="0" xfId="0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2" fontId="1" fillId="2" borderId="3" xfId="0" quotePrefix="1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/>
    <xf numFmtId="0" fontId="1" fillId="0" borderId="7" xfId="0" applyFont="1" applyFill="1" applyBorder="1"/>
    <xf numFmtId="0" fontId="1" fillId="0" borderId="0" xfId="0" applyFont="1" applyFill="1" applyBorder="1" applyAlignment="1">
      <alignment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59657</xdr:colOff>
      <xdr:row>0</xdr:row>
      <xdr:rowOff>157622</xdr:rowOff>
    </xdr:from>
    <xdr:to>
      <xdr:col>12</xdr:col>
      <xdr:colOff>885654</xdr:colOff>
      <xdr:row>11</xdr:row>
      <xdr:rowOff>181109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97" y="157622"/>
          <a:ext cx="5467526" cy="2089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R70"/>
  <sheetViews>
    <sheetView tabSelected="1" topLeftCell="A55" zoomScale="130" zoomScaleNormal="130" workbookViewId="0">
      <selection activeCell="F66" sqref="F66"/>
    </sheetView>
  </sheetViews>
  <sheetFormatPr defaultColWidth="9.140625" defaultRowHeight="15"/>
  <cols>
    <col min="1" max="1" width="3.140625" style="42" customWidth="1"/>
    <col min="2" max="2" width="3.42578125" style="42" customWidth="1"/>
    <col min="3" max="3" width="17.85546875" style="42" customWidth="1"/>
    <col min="4" max="4" width="7.42578125" style="42" customWidth="1"/>
    <col min="5" max="5" width="3.42578125" style="42" customWidth="1"/>
    <col min="6" max="6" width="8.5703125" style="42" customWidth="1"/>
    <col min="7" max="7" width="9.28515625" style="42" customWidth="1"/>
    <col min="8" max="8" width="2.85546875" style="42" customWidth="1"/>
    <col min="9" max="9" width="9.140625" style="42" customWidth="1"/>
    <col min="10" max="10" width="0.140625" style="42" hidden="1" customWidth="1"/>
    <col min="11" max="11" width="2" style="42" hidden="1" customWidth="1"/>
    <col min="12" max="12" width="7.85546875" style="42" customWidth="1"/>
    <col min="13" max="13" width="13.85546875" style="42" customWidth="1"/>
    <col min="14" max="15" width="3.7109375" style="42" hidden="1" customWidth="1"/>
    <col min="16" max="16" width="4.42578125" style="42" customWidth="1"/>
    <col min="17" max="17" width="8.140625" style="42" customWidth="1"/>
    <col min="18" max="16384" width="9.140625" style="42"/>
  </cols>
  <sheetData>
    <row r="13" spans="2:13" s="16" customFormat="1">
      <c r="B13" s="54"/>
      <c r="C13" s="54"/>
      <c r="D13" s="54"/>
      <c r="E13" s="89" t="s">
        <v>1</v>
      </c>
      <c r="F13" s="89"/>
      <c r="G13" s="89"/>
      <c r="H13" s="89"/>
      <c r="I13" s="54"/>
      <c r="J13" s="55"/>
      <c r="K13" s="55"/>
      <c r="L13" s="56"/>
    </row>
    <row r="14" spans="2:13" s="16" customFormat="1">
      <c r="B14" s="57"/>
      <c r="C14" s="57"/>
      <c r="D14" s="57"/>
      <c r="E14" s="57"/>
      <c r="F14" s="57"/>
      <c r="G14" s="57"/>
      <c r="H14" s="57"/>
      <c r="I14" s="57"/>
      <c r="J14" s="55"/>
      <c r="K14" s="55"/>
      <c r="L14" s="56"/>
    </row>
    <row r="15" spans="2:13" s="16" customFormat="1" ht="13.5" customHeight="1">
      <c r="B15" s="57"/>
      <c r="C15" s="57"/>
      <c r="D15" s="57"/>
      <c r="E15" s="57"/>
      <c r="F15" s="57"/>
      <c r="G15" s="57"/>
      <c r="H15" s="57"/>
      <c r="I15" s="92" t="s">
        <v>29</v>
      </c>
      <c r="J15" s="92"/>
      <c r="K15" s="92"/>
      <c r="L15" s="92"/>
    </row>
    <row r="16" spans="2:13" s="16" customFormat="1" ht="15" customHeight="1">
      <c r="B16" s="57"/>
      <c r="C16" s="57"/>
      <c r="D16" s="57"/>
      <c r="E16" s="57"/>
      <c r="F16" s="57"/>
      <c r="G16" s="57"/>
      <c r="H16" s="57"/>
      <c r="I16" s="90" t="s">
        <v>30</v>
      </c>
      <c r="J16" s="90"/>
      <c r="K16" s="90"/>
      <c r="L16" s="90"/>
      <c r="M16" s="90"/>
    </row>
    <row r="17" spans="2:15" s="16" customFormat="1" ht="11.25" customHeight="1">
      <c r="B17" s="46" t="s">
        <v>2</v>
      </c>
      <c r="C17" s="46"/>
      <c r="D17" s="46"/>
      <c r="E17" s="46"/>
      <c r="F17" s="46"/>
      <c r="G17" s="46"/>
      <c r="H17" s="46"/>
      <c r="I17" s="46"/>
      <c r="J17" s="58"/>
      <c r="K17" s="58"/>
      <c r="L17" s="59"/>
    </row>
    <row r="18" spans="2:15" s="16" customFormat="1" ht="14.25" customHeight="1">
      <c r="B18" s="90" t="s">
        <v>3</v>
      </c>
      <c r="C18" s="90"/>
      <c r="D18" s="90"/>
      <c r="E18" s="90"/>
      <c r="F18" s="46"/>
      <c r="G18" s="46"/>
      <c r="H18" s="46"/>
      <c r="I18" s="46"/>
      <c r="J18" s="58"/>
      <c r="K18" s="58"/>
      <c r="L18" s="59"/>
    </row>
    <row r="19" spans="2:15" s="16" customFormat="1" ht="12.75" customHeight="1">
      <c r="B19" s="90" t="s">
        <v>4</v>
      </c>
      <c r="C19" s="90"/>
      <c r="D19" s="90"/>
      <c r="E19" s="90"/>
      <c r="F19" s="46"/>
      <c r="G19" s="46"/>
      <c r="H19" s="46"/>
      <c r="I19" s="46"/>
      <c r="J19" s="58"/>
      <c r="K19" s="58"/>
      <c r="L19" s="59"/>
    </row>
    <row r="20" spans="2:15" s="16" customFormat="1" ht="12.75" customHeight="1">
      <c r="B20" s="90" t="s">
        <v>5</v>
      </c>
      <c r="C20" s="90"/>
      <c r="D20" s="90"/>
      <c r="E20" s="90"/>
      <c r="F20" s="46"/>
      <c r="G20" s="46"/>
      <c r="H20" s="46"/>
      <c r="I20" s="46"/>
      <c r="J20" s="58"/>
      <c r="K20" s="58"/>
      <c r="L20" s="59"/>
    </row>
    <row r="21" spans="2:15" s="16" customFormat="1" ht="12.75" customHeight="1">
      <c r="B21" s="90" t="s">
        <v>6</v>
      </c>
      <c r="C21" s="90"/>
      <c r="D21" s="90"/>
      <c r="E21" s="90"/>
      <c r="F21" s="90"/>
      <c r="G21" s="46"/>
      <c r="H21" s="46"/>
      <c r="I21" s="46"/>
      <c r="J21" s="58"/>
      <c r="K21" s="58"/>
      <c r="L21" s="59"/>
    </row>
    <row r="22" spans="2:15" s="16" customFormat="1" ht="14.25" customHeight="1">
      <c r="B22" s="46"/>
      <c r="C22" s="46"/>
      <c r="D22" s="91" t="s">
        <v>31</v>
      </c>
      <c r="E22" s="91"/>
      <c r="F22" s="91"/>
      <c r="G22" s="91"/>
      <c r="H22" s="91"/>
      <c r="I22" s="91"/>
      <c r="J22" s="91"/>
      <c r="K22" s="91"/>
      <c r="L22" s="91"/>
    </row>
    <row r="23" spans="2:15" s="16" customFormat="1" ht="13.5" customHeight="1">
      <c r="B23" s="46"/>
      <c r="C23" s="46"/>
      <c r="D23" s="91" t="s">
        <v>7</v>
      </c>
      <c r="E23" s="91"/>
      <c r="F23" s="91"/>
      <c r="G23" s="91"/>
      <c r="H23" s="91"/>
      <c r="I23" s="91"/>
      <c r="J23" s="91"/>
      <c r="K23" s="91"/>
      <c r="L23" s="91"/>
    </row>
    <row r="24" spans="2:15" s="16" customFormat="1" ht="9" customHeight="1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</row>
    <row r="25" spans="2:15" s="17" customFormat="1" ht="50.25" customHeight="1">
      <c r="B25" s="60" t="s">
        <v>0</v>
      </c>
      <c r="C25" s="60" t="s">
        <v>10</v>
      </c>
      <c r="D25" s="94" t="s">
        <v>9</v>
      </c>
      <c r="E25" s="94"/>
      <c r="F25" s="94"/>
      <c r="G25" s="94" t="s">
        <v>8</v>
      </c>
      <c r="H25" s="94"/>
      <c r="I25" s="94" t="s">
        <v>11</v>
      </c>
      <c r="J25" s="94"/>
      <c r="K25" s="94"/>
      <c r="L25" s="61" t="s">
        <v>12</v>
      </c>
      <c r="M25" s="62" t="s">
        <v>13</v>
      </c>
      <c r="N25" s="83" t="s">
        <v>15</v>
      </c>
      <c r="O25" s="83"/>
    </row>
    <row r="26" spans="2:15" s="17" customFormat="1" ht="26.25" customHeight="1">
      <c r="B26" s="18"/>
      <c r="C26" s="19"/>
      <c r="D26" s="84" t="s">
        <v>17</v>
      </c>
      <c r="E26" s="84"/>
      <c r="F26" s="84"/>
      <c r="G26" s="84"/>
      <c r="H26" s="84"/>
      <c r="I26" s="20"/>
      <c r="J26" s="20"/>
      <c r="K26" s="20"/>
      <c r="L26" s="21"/>
      <c r="M26" s="22"/>
      <c r="N26" s="23"/>
      <c r="O26" s="23"/>
    </row>
    <row r="27" spans="2:15" s="17" customFormat="1" ht="36" customHeight="1">
      <c r="B27" s="18">
        <v>1</v>
      </c>
      <c r="C27" s="63" t="s">
        <v>27</v>
      </c>
      <c r="D27" s="72" t="s">
        <v>42</v>
      </c>
      <c r="E27" s="72"/>
      <c r="F27" s="72"/>
      <c r="G27" s="72" t="s">
        <v>28</v>
      </c>
      <c r="H27" s="72"/>
      <c r="I27" s="71">
        <v>1500</v>
      </c>
      <c r="J27" s="71"/>
      <c r="K27" s="20"/>
      <c r="L27" s="21" t="s">
        <v>14</v>
      </c>
      <c r="M27" s="22">
        <v>1500</v>
      </c>
      <c r="N27" s="23" t="s">
        <v>16</v>
      </c>
      <c r="O27" s="23">
        <v>34</v>
      </c>
    </row>
    <row r="28" spans="2:15" s="17" customFormat="1" ht="36" customHeight="1">
      <c r="B28" s="18">
        <v>2</v>
      </c>
      <c r="C28" s="63" t="s">
        <v>32</v>
      </c>
      <c r="D28" s="72" t="s">
        <v>43</v>
      </c>
      <c r="E28" s="72"/>
      <c r="F28" s="72"/>
      <c r="G28" s="72" t="s">
        <v>33</v>
      </c>
      <c r="H28" s="72"/>
      <c r="I28" s="71">
        <v>1500</v>
      </c>
      <c r="J28" s="71"/>
      <c r="K28" s="20"/>
      <c r="L28" s="21" t="s">
        <v>14</v>
      </c>
      <c r="M28" s="22">
        <v>1500</v>
      </c>
      <c r="N28" s="23" t="s">
        <v>16</v>
      </c>
      <c r="O28" s="23">
        <v>49</v>
      </c>
    </row>
    <row r="29" spans="2:15" s="17" customFormat="1" ht="36" customHeight="1">
      <c r="B29" s="18">
        <v>3</v>
      </c>
      <c r="C29" s="63" t="s">
        <v>34</v>
      </c>
      <c r="D29" s="72" t="s">
        <v>44</v>
      </c>
      <c r="E29" s="72"/>
      <c r="F29" s="72"/>
      <c r="G29" s="72" t="s">
        <v>35</v>
      </c>
      <c r="H29" s="72"/>
      <c r="I29" s="71">
        <v>1500</v>
      </c>
      <c r="J29" s="71"/>
      <c r="K29" s="20"/>
      <c r="L29" s="21" t="s">
        <v>14</v>
      </c>
      <c r="M29" s="22">
        <v>1500</v>
      </c>
      <c r="N29" s="23" t="s">
        <v>16</v>
      </c>
      <c r="O29" s="23">
        <v>107</v>
      </c>
    </row>
    <row r="30" spans="2:15" s="17" customFormat="1" ht="18" customHeight="1">
      <c r="B30" s="18"/>
      <c r="C30" s="24"/>
      <c r="D30" s="84" t="s">
        <v>18</v>
      </c>
      <c r="E30" s="84"/>
      <c r="F30" s="84"/>
      <c r="G30" s="84"/>
      <c r="H30" s="84"/>
      <c r="I30" s="20"/>
      <c r="J30" s="20"/>
      <c r="K30" s="20"/>
      <c r="L30" s="21"/>
      <c r="M30" s="22"/>
      <c r="N30" s="23"/>
      <c r="O30" s="23"/>
    </row>
    <row r="31" spans="2:15" s="17" customFormat="1" ht="33" customHeight="1">
      <c r="B31" s="18">
        <f t="shared" ref="B31:B36" si="0">1+B30</f>
        <v>1</v>
      </c>
      <c r="C31" s="18" t="s">
        <v>41</v>
      </c>
      <c r="D31" s="72" t="s">
        <v>45</v>
      </c>
      <c r="E31" s="72"/>
      <c r="F31" s="72"/>
      <c r="G31" s="72" t="s">
        <v>37</v>
      </c>
      <c r="H31" s="72"/>
      <c r="I31" s="71">
        <v>1500</v>
      </c>
      <c r="J31" s="71"/>
      <c r="K31" s="20"/>
      <c r="L31" s="21" t="s">
        <v>14</v>
      </c>
      <c r="M31" s="22">
        <v>1500</v>
      </c>
      <c r="N31" s="23" t="s">
        <v>16</v>
      </c>
      <c r="O31" s="23">
        <v>4</v>
      </c>
    </row>
    <row r="32" spans="2:15" s="17" customFormat="1" ht="40.5" customHeight="1">
      <c r="B32" s="18">
        <f t="shared" si="0"/>
        <v>2</v>
      </c>
      <c r="C32" s="18" t="s">
        <v>38</v>
      </c>
      <c r="D32" s="72" t="s">
        <v>46</v>
      </c>
      <c r="E32" s="72"/>
      <c r="F32" s="72"/>
      <c r="G32" s="72" t="s">
        <v>39</v>
      </c>
      <c r="H32" s="72"/>
      <c r="I32" s="71">
        <v>1500</v>
      </c>
      <c r="J32" s="71"/>
      <c r="K32" s="20"/>
      <c r="L32" s="21" t="s">
        <v>14</v>
      </c>
      <c r="M32" s="22">
        <v>1500</v>
      </c>
      <c r="N32" s="23" t="s">
        <v>16</v>
      </c>
      <c r="O32" s="23">
        <v>15</v>
      </c>
    </row>
    <row r="33" spans="2:18" s="17" customFormat="1" ht="29.25" customHeight="1">
      <c r="B33" s="18">
        <f t="shared" si="0"/>
        <v>3</v>
      </c>
      <c r="C33" s="24" t="s">
        <v>40</v>
      </c>
      <c r="D33" s="72" t="s">
        <v>47</v>
      </c>
      <c r="E33" s="72"/>
      <c r="F33" s="72"/>
      <c r="G33" s="72" t="s">
        <v>48</v>
      </c>
      <c r="H33" s="72"/>
      <c r="I33" s="71">
        <v>1500</v>
      </c>
      <c r="J33" s="71"/>
      <c r="K33" s="20"/>
      <c r="L33" s="21" t="s">
        <v>14</v>
      </c>
      <c r="M33" s="22">
        <v>1500</v>
      </c>
      <c r="N33" s="23" t="s">
        <v>16</v>
      </c>
      <c r="O33" s="23">
        <v>57</v>
      </c>
    </row>
    <row r="34" spans="2:18" s="17" customFormat="1" ht="31.5" customHeight="1">
      <c r="B34" s="18">
        <f t="shared" si="0"/>
        <v>4</v>
      </c>
      <c r="C34" s="64" t="s">
        <v>49</v>
      </c>
      <c r="D34" s="72" t="s">
        <v>50</v>
      </c>
      <c r="E34" s="72"/>
      <c r="F34" s="72"/>
      <c r="G34" s="72" t="s">
        <v>51</v>
      </c>
      <c r="H34" s="72"/>
      <c r="I34" s="71">
        <v>1500</v>
      </c>
      <c r="J34" s="71"/>
      <c r="K34" s="20"/>
      <c r="L34" s="21" t="s">
        <v>14</v>
      </c>
      <c r="M34" s="22">
        <v>1500</v>
      </c>
      <c r="N34" s="23" t="s">
        <v>16</v>
      </c>
      <c r="O34" s="23">
        <v>66</v>
      </c>
    </row>
    <row r="35" spans="2:18" s="17" customFormat="1" ht="24.75" customHeight="1">
      <c r="B35" s="18">
        <f t="shared" si="0"/>
        <v>5</v>
      </c>
      <c r="C35" s="18" t="s">
        <v>53</v>
      </c>
      <c r="D35" s="72" t="s">
        <v>54</v>
      </c>
      <c r="E35" s="72"/>
      <c r="F35" s="72"/>
      <c r="G35" s="72" t="s">
        <v>52</v>
      </c>
      <c r="H35" s="72"/>
      <c r="I35" s="71">
        <v>1500</v>
      </c>
      <c r="J35" s="71"/>
      <c r="K35" s="20"/>
      <c r="L35" s="21" t="s">
        <v>14</v>
      </c>
      <c r="M35" s="22">
        <v>1500</v>
      </c>
      <c r="N35" s="23" t="s">
        <v>16</v>
      </c>
      <c r="O35" s="23">
        <v>91</v>
      </c>
    </row>
    <row r="36" spans="2:18" s="17" customFormat="1" ht="39" customHeight="1">
      <c r="B36" s="18">
        <f t="shared" si="0"/>
        <v>6</v>
      </c>
      <c r="C36" s="24" t="s">
        <v>55</v>
      </c>
      <c r="D36" s="72" t="s">
        <v>57</v>
      </c>
      <c r="E36" s="72"/>
      <c r="F36" s="72"/>
      <c r="G36" s="72" t="s">
        <v>56</v>
      </c>
      <c r="H36" s="72"/>
      <c r="I36" s="71">
        <v>750</v>
      </c>
      <c r="J36" s="71"/>
      <c r="K36" s="20"/>
      <c r="L36" s="21" t="s">
        <v>14</v>
      </c>
      <c r="M36" s="22">
        <v>750</v>
      </c>
      <c r="N36" s="23" t="s">
        <v>16</v>
      </c>
      <c r="O36" s="23">
        <v>111</v>
      </c>
    </row>
    <row r="37" spans="2:18" s="17" customFormat="1" ht="20.25" customHeight="1">
      <c r="B37" s="18"/>
      <c r="C37" s="24"/>
      <c r="D37" s="82" t="s">
        <v>19</v>
      </c>
      <c r="E37" s="82"/>
      <c r="F37" s="82"/>
      <c r="G37" s="82"/>
      <c r="H37" s="82"/>
      <c r="I37" s="20"/>
      <c r="J37" s="20"/>
      <c r="K37" s="20"/>
      <c r="L37" s="21"/>
      <c r="M37" s="22"/>
      <c r="N37" s="23"/>
      <c r="O37" s="23"/>
    </row>
    <row r="38" spans="2:18" s="17" customFormat="1" ht="26.25" customHeight="1">
      <c r="B38" s="18">
        <f t="shared" ref="B38:B39" si="1">B37+1</f>
        <v>1</v>
      </c>
      <c r="C38" s="24" t="s">
        <v>58</v>
      </c>
      <c r="D38" s="72" t="s">
        <v>59</v>
      </c>
      <c r="E38" s="72"/>
      <c r="F38" s="72"/>
      <c r="G38" s="72" t="s">
        <v>60</v>
      </c>
      <c r="H38" s="72"/>
      <c r="I38" s="71">
        <v>1500</v>
      </c>
      <c r="J38" s="71"/>
      <c r="K38" s="20"/>
      <c r="L38" s="21" t="s">
        <v>14</v>
      </c>
      <c r="M38" s="22">
        <v>1500</v>
      </c>
      <c r="N38" s="23" t="s">
        <v>16</v>
      </c>
      <c r="O38" s="23">
        <v>7</v>
      </c>
    </row>
    <row r="39" spans="2:18" s="17" customFormat="1" ht="27" customHeight="1">
      <c r="B39" s="18">
        <f t="shared" si="1"/>
        <v>2</v>
      </c>
      <c r="C39" s="24" t="s">
        <v>61</v>
      </c>
      <c r="D39" s="72" t="s">
        <v>62</v>
      </c>
      <c r="E39" s="72"/>
      <c r="F39" s="72"/>
      <c r="G39" s="72" t="s">
        <v>39</v>
      </c>
      <c r="H39" s="72"/>
      <c r="I39" s="71">
        <v>1500</v>
      </c>
      <c r="J39" s="71"/>
      <c r="K39" s="20"/>
      <c r="L39" s="21" t="s">
        <v>14</v>
      </c>
      <c r="M39" s="22">
        <v>1500</v>
      </c>
      <c r="N39" s="23" t="s">
        <v>16</v>
      </c>
      <c r="O39" s="23">
        <v>17</v>
      </c>
    </row>
    <row r="40" spans="2:18" s="17" customFormat="1" ht="26.25" customHeight="1">
      <c r="B40" s="18">
        <f>B39+1</f>
        <v>3</v>
      </c>
      <c r="C40" s="18" t="s">
        <v>63</v>
      </c>
      <c r="D40" s="72" t="s">
        <v>64</v>
      </c>
      <c r="E40" s="72"/>
      <c r="F40" s="72"/>
      <c r="G40" s="72" t="s">
        <v>39</v>
      </c>
      <c r="H40" s="72"/>
      <c r="I40" s="71">
        <v>1500</v>
      </c>
      <c r="J40" s="71"/>
      <c r="K40" s="20"/>
      <c r="L40" s="21" t="s">
        <v>14</v>
      </c>
      <c r="M40" s="22">
        <v>1500</v>
      </c>
      <c r="N40" s="23" t="s">
        <v>16</v>
      </c>
      <c r="O40" s="23">
        <v>22</v>
      </c>
    </row>
    <row r="41" spans="2:18" s="17" customFormat="1" ht="40.5" customHeight="1">
      <c r="B41" s="18">
        <f>B40+1</f>
        <v>4</v>
      </c>
      <c r="C41" s="18" t="s">
        <v>65</v>
      </c>
      <c r="D41" s="72" t="s">
        <v>66</v>
      </c>
      <c r="E41" s="72"/>
      <c r="F41" s="72"/>
      <c r="G41" s="72" t="s">
        <v>67</v>
      </c>
      <c r="H41" s="72"/>
      <c r="I41" s="71">
        <v>1500</v>
      </c>
      <c r="J41" s="71"/>
      <c r="K41" s="20"/>
      <c r="L41" s="21" t="s">
        <v>14</v>
      </c>
      <c r="M41" s="22">
        <v>1500</v>
      </c>
      <c r="N41" s="23" t="s">
        <v>16</v>
      </c>
      <c r="O41" s="23">
        <v>29</v>
      </c>
    </row>
    <row r="42" spans="2:18" s="17" customFormat="1" ht="25.5" customHeight="1">
      <c r="B42" s="18">
        <v>5</v>
      </c>
      <c r="C42" s="18" t="s">
        <v>68</v>
      </c>
      <c r="D42" s="72" t="s">
        <v>69</v>
      </c>
      <c r="E42" s="72"/>
      <c r="F42" s="72"/>
      <c r="G42" s="76" t="s">
        <v>67</v>
      </c>
      <c r="H42" s="77"/>
      <c r="I42" s="71">
        <v>1500</v>
      </c>
      <c r="J42" s="71"/>
      <c r="K42" s="20"/>
      <c r="L42" s="21" t="s">
        <v>14</v>
      </c>
      <c r="M42" s="22">
        <v>1500</v>
      </c>
      <c r="N42" s="23" t="s">
        <v>16</v>
      </c>
      <c r="O42" s="23">
        <v>30</v>
      </c>
    </row>
    <row r="43" spans="2:18" s="17" customFormat="1" ht="25.5" customHeight="1">
      <c r="B43" s="18">
        <v>6</v>
      </c>
      <c r="C43" s="18" t="s">
        <v>70</v>
      </c>
      <c r="D43" s="72" t="s">
        <v>71</v>
      </c>
      <c r="E43" s="72"/>
      <c r="F43" s="72"/>
      <c r="G43" s="76" t="s">
        <v>72</v>
      </c>
      <c r="H43" s="77"/>
      <c r="I43" s="20">
        <v>1500</v>
      </c>
      <c r="J43" s="20"/>
      <c r="K43" s="20"/>
      <c r="L43" s="21" t="s">
        <v>14</v>
      </c>
      <c r="M43" s="22">
        <v>1500</v>
      </c>
      <c r="N43" s="23" t="s">
        <v>16</v>
      </c>
      <c r="O43" s="23">
        <v>62</v>
      </c>
    </row>
    <row r="44" spans="2:18" s="17" customFormat="1" ht="25.5" customHeight="1">
      <c r="B44" s="25">
        <v>7</v>
      </c>
      <c r="C44" s="65" t="s">
        <v>73</v>
      </c>
      <c r="D44" s="73" t="s">
        <v>74</v>
      </c>
      <c r="E44" s="74"/>
      <c r="F44" s="75"/>
      <c r="G44" s="73" t="s">
        <v>51</v>
      </c>
      <c r="H44" s="75"/>
      <c r="I44" s="26">
        <v>1500</v>
      </c>
      <c r="J44" s="53"/>
      <c r="K44" s="53"/>
      <c r="L44" s="27" t="s">
        <v>14</v>
      </c>
      <c r="M44" s="26">
        <v>1500</v>
      </c>
      <c r="N44" s="47" t="s">
        <v>16</v>
      </c>
      <c r="O44" s="28">
        <v>65</v>
      </c>
    </row>
    <row r="45" spans="2:18" s="17" customFormat="1" ht="25.5" customHeight="1">
      <c r="B45" s="25">
        <v>8</v>
      </c>
      <c r="C45" s="65" t="s">
        <v>75</v>
      </c>
      <c r="D45" s="73" t="s">
        <v>76</v>
      </c>
      <c r="E45" s="74"/>
      <c r="F45" s="75"/>
      <c r="G45" s="73" t="s">
        <v>52</v>
      </c>
      <c r="H45" s="75"/>
      <c r="I45" s="26">
        <v>1500</v>
      </c>
      <c r="J45" s="53"/>
      <c r="K45" s="53"/>
      <c r="L45" s="27" t="s">
        <v>14</v>
      </c>
      <c r="M45" s="26">
        <v>1500</v>
      </c>
      <c r="N45" s="47" t="s">
        <v>16</v>
      </c>
      <c r="O45" s="28">
        <v>89</v>
      </c>
    </row>
    <row r="46" spans="2:18" s="17" customFormat="1" ht="25.5" customHeight="1">
      <c r="B46" s="25">
        <v>9</v>
      </c>
      <c r="C46" s="65" t="s">
        <v>77</v>
      </c>
      <c r="D46" s="73" t="s">
        <v>78</v>
      </c>
      <c r="E46" s="74"/>
      <c r="F46" s="75"/>
      <c r="G46" s="73" t="s">
        <v>36</v>
      </c>
      <c r="H46" s="75"/>
      <c r="I46" s="26">
        <v>1500</v>
      </c>
      <c r="J46" s="53"/>
      <c r="K46" s="53"/>
      <c r="L46" s="27" t="s">
        <v>14</v>
      </c>
      <c r="M46" s="26">
        <v>1500</v>
      </c>
      <c r="N46" s="47" t="s">
        <v>16</v>
      </c>
      <c r="O46" s="28">
        <v>100</v>
      </c>
    </row>
    <row r="47" spans="2:18" s="17" customFormat="1" ht="15.75" customHeight="1">
      <c r="B47" s="25"/>
      <c r="C47" s="25"/>
      <c r="D47" s="78" t="s">
        <v>20</v>
      </c>
      <c r="E47" s="79"/>
      <c r="F47" s="79"/>
      <c r="G47" s="79"/>
      <c r="H47" s="80"/>
      <c r="I47" s="81"/>
      <c r="J47" s="81"/>
      <c r="K47" s="53"/>
      <c r="L47" s="48"/>
      <c r="M47" s="49"/>
      <c r="N47" s="47"/>
      <c r="O47" s="50"/>
      <c r="Q47" s="29"/>
      <c r="R47" s="29"/>
    </row>
    <row r="48" spans="2:18" s="17" customFormat="1" ht="29.25" customHeight="1">
      <c r="B48" s="25">
        <v>1</v>
      </c>
      <c r="C48" s="25" t="s">
        <v>84</v>
      </c>
      <c r="D48" s="73" t="s">
        <v>79</v>
      </c>
      <c r="E48" s="74"/>
      <c r="F48" s="75"/>
      <c r="G48" s="74" t="s">
        <v>80</v>
      </c>
      <c r="H48" s="75"/>
      <c r="I48" s="53">
        <v>1500</v>
      </c>
      <c r="J48" s="53"/>
      <c r="K48" s="53"/>
      <c r="L48" s="27" t="s">
        <v>14</v>
      </c>
      <c r="M48" s="26">
        <v>1500</v>
      </c>
      <c r="N48" s="47" t="s">
        <v>21</v>
      </c>
      <c r="O48" s="30">
        <v>2</v>
      </c>
      <c r="Q48" s="29"/>
      <c r="R48" s="29"/>
    </row>
    <row r="49" spans="1:18" s="17" customFormat="1" ht="29.25" customHeight="1">
      <c r="B49" s="25">
        <v>2</v>
      </c>
      <c r="C49" s="25" t="s">
        <v>26</v>
      </c>
      <c r="D49" s="73" t="s">
        <v>82</v>
      </c>
      <c r="E49" s="74"/>
      <c r="F49" s="75"/>
      <c r="G49" s="74" t="s">
        <v>81</v>
      </c>
      <c r="H49" s="75"/>
      <c r="I49" s="53">
        <v>1500</v>
      </c>
      <c r="J49" s="53"/>
      <c r="K49" s="53"/>
      <c r="L49" s="27" t="s">
        <v>14</v>
      </c>
      <c r="M49" s="26">
        <v>1500</v>
      </c>
      <c r="N49" s="47" t="s">
        <v>21</v>
      </c>
      <c r="O49" s="30">
        <v>7</v>
      </c>
      <c r="Q49" s="29"/>
      <c r="R49" s="29"/>
    </row>
    <row r="50" spans="1:18" s="17" customFormat="1" ht="14.25" customHeight="1">
      <c r="B50" s="25"/>
      <c r="C50" s="25"/>
      <c r="D50" s="78" t="s">
        <v>24</v>
      </c>
      <c r="E50" s="79"/>
      <c r="F50" s="79"/>
      <c r="G50" s="79"/>
      <c r="H50" s="80"/>
      <c r="I50" s="53"/>
      <c r="J50" s="53"/>
      <c r="K50" s="53"/>
      <c r="L50" s="27"/>
      <c r="M50" s="26"/>
      <c r="N50" s="30"/>
      <c r="O50" s="28"/>
      <c r="Q50" s="29"/>
      <c r="R50" s="29"/>
    </row>
    <row r="51" spans="1:18" s="17" customFormat="1" ht="35.25" customHeight="1">
      <c r="B51" s="25">
        <v>1</v>
      </c>
      <c r="C51" s="25" t="s">
        <v>83</v>
      </c>
      <c r="D51" s="73" t="s">
        <v>85</v>
      </c>
      <c r="E51" s="74"/>
      <c r="F51" s="75"/>
      <c r="G51" s="74" t="s">
        <v>48</v>
      </c>
      <c r="H51" s="75"/>
      <c r="I51" s="53">
        <v>1500</v>
      </c>
      <c r="J51" s="53"/>
      <c r="K51" s="53"/>
      <c r="L51" s="27" t="s">
        <v>14</v>
      </c>
      <c r="M51" s="26">
        <v>1500</v>
      </c>
      <c r="N51" s="47" t="s">
        <v>22</v>
      </c>
      <c r="O51" s="28">
        <v>25</v>
      </c>
    </row>
    <row r="52" spans="1:18" s="17" customFormat="1" ht="35.25" customHeight="1">
      <c r="B52" s="25">
        <v>2</v>
      </c>
      <c r="C52" s="25" t="s">
        <v>86</v>
      </c>
      <c r="D52" s="73" t="s">
        <v>87</v>
      </c>
      <c r="E52" s="74"/>
      <c r="F52" s="75"/>
      <c r="G52" s="74" t="s">
        <v>88</v>
      </c>
      <c r="H52" s="75"/>
      <c r="I52" s="53">
        <v>1500</v>
      </c>
      <c r="J52" s="53"/>
      <c r="K52" s="53"/>
      <c r="L52" s="27" t="s">
        <v>14</v>
      </c>
      <c r="M52" s="26">
        <v>1500</v>
      </c>
      <c r="N52" s="47" t="s">
        <v>22</v>
      </c>
      <c r="O52" s="28">
        <v>50</v>
      </c>
    </row>
    <row r="53" spans="1:18" s="17" customFormat="1" ht="16.5" customHeight="1">
      <c r="B53" s="25"/>
      <c r="C53" s="25"/>
      <c r="D53" s="78" t="s">
        <v>89</v>
      </c>
      <c r="E53" s="79"/>
      <c r="F53" s="79"/>
      <c r="G53" s="79"/>
      <c r="H53" s="80"/>
      <c r="I53" s="53"/>
      <c r="J53" s="53"/>
      <c r="K53" s="53"/>
      <c r="L53" s="27"/>
      <c r="M53" s="26"/>
      <c r="N53" s="30"/>
      <c r="O53" s="28"/>
    </row>
    <row r="54" spans="1:18" s="17" customFormat="1" ht="35.25" customHeight="1">
      <c r="B54" s="25">
        <v>1</v>
      </c>
      <c r="C54" s="25" t="s">
        <v>90</v>
      </c>
      <c r="D54" s="73" t="s">
        <v>91</v>
      </c>
      <c r="E54" s="74"/>
      <c r="F54" s="75"/>
      <c r="G54" s="74" t="s">
        <v>56</v>
      </c>
      <c r="H54" s="75"/>
      <c r="I54" s="26">
        <v>1500</v>
      </c>
      <c r="J54" s="53"/>
      <c r="K54" s="53"/>
      <c r="L54" s="27" t="s">
        <v>14</v>
      </c>
      <c r="M54" s="26">
        <v>1500</v>
      </c>
      <c r="N54" s="47" t="s">
        <v>16</v>
      </c>
      <c r="O54" s="28">
        <v>97</v>
      </c>
    </row>
    <row r="55" spans="1:18" s="17" customFormat="1" ht="21.75" customHeight="1">
      <c r="B55" s="25"/>
      <c r="C55" s="25"/>
      <c r="D55" s="78" t="s">
        <v>25</v>
      </c>
      <c r="E55" s="79"/>
      <c r="F55" s="79"/>
      <c r="G55" s="79"/>
      <c r="H55" s="80"/>
      <c r="I55" s="26"/>
      <c r="J55" s="53"/>
      <c r="K55" s="53"/>
      <c r="L55" s="27"/>
      <c r="M55" s="26"/>
      <c r="N55" s="30"/>
      <c r="O55" s="28"/>
    </row>
    <row r="56" spans="1:18" s="17" customFormat="1" ht="35.25" customHeight="1">
      <c r="B56" s="25">
        <v>1</v>
      </c>
      <c r="C56" s="65" t="s">
        <v>93</v>
      </c>
      <c r="D56" s="73" t="s">
        <v>92</v>
      </c>
      <c r="E56" s="74"/>
      <c r="F56" s="75"/>
      <c r="G56" s="73" t="s">
        <v>94</v>
      </c>
      <c r="H56" s="75"/>
      <c r="I56" s="26">
        <v>1500</v>
      </c>
      <c r="J56" s="53"/>
      <c r="K56" s="53"/>
      <c r="L56" s="27" t="s">
        <v>14</v>
      </c>
      <c r="M56" s="26">
        <v>1500</v>
      </c>
      <c r="N56" s="47" t="s">
        <v>22</v>
      </c>
      <c r="O56" s="66">
        <v>2</v>
      </c>
    </row>
    <row r="57" spans="1:18" s="17" customFormat="1" ht="35.25" customHeight="1">
      <c r="B57" s="25">
        <v>2</v>
      </c>
      <c r="C57" s="25" t="s">
        <v>95</v>
      </c>
      <c r="D57" s="73" t="s">
        <v>96</v>
      </c>
      <c r="E57" s="74"/>
      <c r="F57" s="75"/>
      <c r="G57" s="74" t="s">
        <v>28</v>
      </c>
      <c r="H57" s="75"/>
      <c r="I57" s="26">
        <v>1500</v>
      </c>
      <c r="J57" s="53"/>
      <c r="K57" s="53"/>
      <c r="L57" s="27" t="s">
        <v>14</v>
      </c>
      <c r="M57" s="26">
        <v>1500</v>
      </c>
      <c r="N57" s="47" t="s">
        <v>22</v>
      </c>
      <c r="O57" s="28">
        <v>16</v>
      </c>
    </row>
    <row r="58" spans="1:18" s="17" customFormat="1" ht="35.25" customHeight="1">
      <c r="B58" s="25">
        <v>3</v>
      </c>
      <c r="C58" s="25" t="s">
        <v>97</v>
      </c>
      <c r="D58" s="73" t="s">
        <v>98</v>
      </c>
      <c r="E58" s="74"/>
      <c r="F58" s="75"/>
      <c r="G58" s="74" t="s">
        <v>28</v>
      </c>
      <c r="H58" s="75"/>
      <c r="I58" s="26">
        <v>1500</v>
      </c>
      <c r="J58" s="53"/>
      <c r="K58" s="53"/>
      <c r="L58" s="27" t="s">
        <v>14</v>
      </c>
      <c r="M58" s="26">
        <v>1500</v>
      </c>
      <c r="N58" s="30" t="s">
        <v>22</v>
      </c>
      <c r="O58" s="28">
        <v>17</v>
      </c>
    </row>
    <row r="59" spans="1:18" s="17" customFormat="1" ht="35.25" customHeight="1">
      <c r="B59" s="25">
        <v>4</v>
      </c>
      <c r="C59" s="25" t="s">
        <v>99</v>
      </c>
      <c r="D59" s="73" t="s">
        <v>100</v>
      </c>
      <c r="E59" s="74"/>
      <c r="F59" s="75"/>
      <c r="G59" s="73" t="s">
        <v>101</v>
      </c>
      <c r="H59" s="75"/>
      <c r="I59" s="26">
        <v>1500</v>
      </c>
      <c r="J59" s="53"/>
      <c r="K59" s="53"/>
      <c r="L59" s="27" t="s">
        <v>14</v>
      </c>
      <c r="M59" s="26">
        <v>1500</v>
      </c>
      <c r="N59" s="30" t="s">
        <v>22</v>
      </c>
      <c r="O59" s="28">
        <v>23</v>
      </c>
    </row>
    <row r="60" spans="1:18" s="32" customFormat="1" ht="18" customHeight="1">
      <c r="A60" s="31"/>
      <c r="B60" s="87" t="s">
        <v>102</v>
      </c>
      <c r="C60" s="87"/>
      <c r="D60" s="87"/>
      <c r="E60" s="87"/>
      <c r="F60" s="87"/>
      <c r="G60" s="87"/>
      <c r="H60" s="87"/>
      <c r="I60" s="87"/>
      <c r="J60" s="87"/>
      <c r="K60" s="87"/>
      <c r="L60" s="51"/>
      <c r="M60" s="67">
        <f>SUM(M26:M59)</f>
        <v>39750</v>
      </c>
      <c r="N60" s="68"/>
      <c r="O60" s="69"/>
    </row>
    <row r="61" spans="1:18" s="32" customFormat="1" ht="16.5" customHeight="1">
      <c r="B61" s="86" t="s">
        <v>23</v>
      </c>
      <c r="C61" s="86"/>
      <c r="D61" s="86"/>
      <c r="E61" s="86"/>
      <c r="F61" s="86"/>
      <c r="G61" s="86"/>
      <c r="H61" s="86"/>
      <c r="I61" s="52" t="s">
        <v>23</v>
      </c>
      <c r="J61" s="88"/>
      <c r="K61" s="88"/>
      <c r="L61" s="52"/>
      <c r="M61" s="31"/>
    </row>
    <row r="62" spans="1:18" s="32" customFormat="1" ht="15" customHeight="1">
      <c r="B62" s="86" t="s">
        <v>103</v>
      </c>
      <c r="C62" s="86"/>
      <c r="D62" s="86"/>
      <c r="E62" s="86"/>
      <c r="F62" s="86"/>
      <c r="G62" s="86"/>
      <c r="H62" s="86"/>
      <c r="I62" s="52"/>
      <c r="J62" s="88"/>
      <c r="K62" s="88"/>
      <c r="L62" s="52"/>
    </row>
    <row r="63" spans="1:18" s="32" customFormat="1" ht="16.5" customHeight="1">
      <c r="B63" s="86" t="s">
        <v>105</v>
      </c>
      <c r="C63" s="86"/>
      <c r="D63" s="86"/>
      <c r="E63" s="86"/>
      <c r="F63" s="86"/>
      <c r="G63" s="86"/>
      <c r="H63" s="86"/>
      <c r="I63" s="52"/>
      <c r="J63" s="88"/>
      <c r="K63" s="88"/>
      <c r="L63" s="52"/>
    </row>
    <row r="64" spans="1:18" s="32" customFormat="1" ht="15" customHeight="1">
      <c r="B64" s="86" t="s">
        <v>104</v>
      </c>
      <c r="C64" s="86"/>
      <c r="D64" s="86"/>
      <c r="E64" s="86"/>
      <c r="F64" s="86"/>
      <c r="G64" s="86"/>
      <c r="H64" s="86"/>
      <c r="I64" s="52"/>
      <c r="J64" s="88"/>
      <c r="K64" s="88"/>
      <c r="L64" s="52"/>
      <c r="N64" s="85"/>
      <c r="O64" s="85"/>
      <c r="P64" s="85"/>
      <c r="Q64" s="85"/>
    </row>
    <row r="65" spans="2:12" s="33" customFormat="1" ht="18.75" customHeight="1">
      <c r="B65" s="70" t="s">
        <v>106</v>
      </c>
      <c r="C65" s="70"/>
      <c r="D65" s="70"/>
      <c r="E65" s="70"/>
      <c r="F65" s="52"/>
      <c r="G65" s="52"/>
      <c r="H65" s="52"/>
      <c r="I65" s="52"/>
      <c r="J65" s="52"/>
      <c r="K65" s="52"/>
      <c r="L65" s="52"/>
    </row>
    <row r="66" spans="2:12" s="34" customFormat="1" ht="18.75" customHeight="1">
      <c r="B66" s="35"/>
      <c r="C66" s="35"/>
      <c r="D66" s="35"/>
      <c r="E66" s="35"/>
      <c r="F66" s="36"/>
      <c r="G66" s="37"/>
      <c r="H66" s="38"/>
      <c r="I66" s="38"/>
      <c r="J66" s="38"/>
      <c r="K66" s="38"/>
      <c r="L66" s="38"/>
    </row>
    <row r="67" spans="2:12" s="34" customFormat="1" ht="12.75">
      <c r="B67" s="35"/>
      <c r="C67" s="35"/>
      <c r="D67" s="35"/>
      <c r="E67" s="35"/>
      <c r="F67" s="36"/>
      <c r="G67" s="37"/>
      <c r="H67" s="38"/>
      <c r="I67" s="38"/>
      <c r="J67" s="38"/>
      <c r="K67" s="38"/>
      <c r="L67" s="38"/>
    </row>
    <row r="68" spans="2:12">
      <c r="B68" s="39"/>
      <c r="C68" s="39"/>
      <c r="D68" s="39"/>
      <c r="E68" s="39"/>
      <c r="F68" s="40"/>
      <c r="G68" s="39"/>
      <c r="H68" s="39"/>
      <c r="I68" s="39"/>
      <c r="J68" s="39"/>
      <c r="K68" s="39"/>
      <c r="L68" s="41"/>
    </row>
    <row r="69" spans="2:12" s="32" customFormat="1">
      <c r="B69" s="43"/>
      <c r="C69" s="43"/>
      <c r="D69" s="43"/>
      <c r="E69" s="43"/>
      <c r="F69" s="43"/>
      <c r="G69" s="44"/>
      <c r="H69" s="44"/>
      <c r="I69" s="44"/>
      <c r="J69" s="44"/>
      <c r="K69" s="44"/>
      <c r="L69" s="44"/>
    </row>
    <row r="70" spans="2:12" s="32" customFormat="1">
      <c r="B70" s="43"/>
      <c r="C70" s="43"/>
      <c r="D70" s="43"/>
      <c r="E70" s="43"/>
      <c r="F70" s="43"/>
      <c r="G70" s="45"/>
      <c r="H70" s="45"/>
      <c r="I70" s="45"/>
      <c r="J70" s="45"/>
      <c r="K70" s="45"/>
      <c r="L70" s="45"/>
    </row>
  </sheetData>
  <mergeCells count="100">
    <mergeCell ref="B24:L24"/>
    <mergeCell ref="G25:H25"/>
    <mergeCell ref="I25:K25"/>
    <mergeCell ref="D25:F25"/>
    <mergeCell ref="D30:H30"/>
    <mergeCell ref="D28:F28"/>
    <mergeCell ref="G28:H28"/>
    <mergeCell ref="I28:J28"/>
    <mergeCell ref="D29:F29"/>
    <mergeCell ref="G29:H29"/>
    <mergeCell ref="I29:J29"/>
    <mergeCell ref="E13:H13"/>
    <mergeCell ref="B21:F21"/>
    <mergeCell ref="D22:L22"/>
    <mergeCell ref="D23:L23"/>
    <mergeCell ref="I15:L15"/>
    <mergeCell ref="I16:M16"/>
    <mergeCell ref="B18:E18"/>
    <mergeCell ref="B19:E19"/>
    <mergeCell ref="B20:E20"/>
    <mergeCell ref="N64:Q64"/>
    <mergeCell ref="B61:H61"/>
    <mergeCell ref="B60:K60"/>
    <mergeCell ref="B62:H62"/>
    <mergeCell ref="B63:H63"/>
    <mergeCell ref="B64:H64"/>
    <mergeCell ref="J61:K61"/>
    <mergeCell ref="J62:K62"/>
    <mergeCell ref="J63:K63"/>
    <mergeCell ref="J64:K64"/>
    <mergeCell ref="D39:F39"/>
    <mergeCell ref="N25:O25"/>
    <mergeCell ref="D27:F27"/>
    <mergeCell ref="G27:H27"/>
    <mergeCell ref="I27:J27"/>
    <mergeCell ref="D36:F36"/>
    <mergeCell ref="G36:H36"/>
    <mergeCell ref="I36:J36"/>
    <mergeCell ref="D26:H26"/>
    <mergeCell ref="I32:J32"/>
    <mergeCell ref="D32:F32"/>
    <mergeCell ref="D34:F34"/>
    <mergeCell ref="D38:F38"/>
    <mergeCell ref="G38:H38"/>
    <mergeCell ref="I38:J38"/>
    <mergeCell ref="I34:J34"/>
    <mergeCell ref="D37:H37"/>
    <mergeCell ref="D31:F31"/>
    <mergeCell ref="G31:H31"/>
    <mergeCell ref="I31:J31"/>
    <mergeCell ref="I33:J33"/>
    <mergeCell ref="G32:H32"/>
    <mergeCell ref="D33:F33"/>
    <mergeCell ref="G33:H33"/>
    <mergeCell ref="D35:F35"/>
    <mergeCell ref="G35:H35"/>
    <mergeCell ref="I35:J35"/>
    <mergeCell ref="G34:H34"/>
    <mergeCell ref="I47:J47"/>
    <mergeCell ref="D53:H53"/>
    <mergeCell ref="D41:F41"/>
    <mergeCell ref="G41:H41"/>
    <mergeCell ref="I41:J41"/>
    <mergeCell ref="I42:J42"/>
    <mergeCell ref="D52:F52"/>
    <mergeCell ref="G52:H52"/>
    <mergeCell ref="D45:F45"/>
    <mergeCell ref="G45:H45"/>
    <mergeCell ref="D46:F46"/>
    <mergeCell ref="G46:H46"/>
    <mergeCell ref="D49:F49"/>
    <mergeCell ref="G49:H49"/>
    <mergeCell ref="G48:H48"/>
    <mergeCell ref="D51:F51"/>
    <mergeCell ref="D58:F58"/>
    <mergeCell ref="G58:H58"/>
    <mergeCell ref="D59:F59"/>
    <mergeCell ref="G59:H59"/>
    <mergeCell ref="G40:H40"/>
    <mergeCell ref="D47:H47"/>
    <mergeCell ref="D50:H50"/>
    <mergeCell ref="D48:F48"/>
    <mergeCell ref="D40:F40"/>
    <mergeCell ref="G51:H51"/>
    <mergeCell ref="I40:J40"/>
    <mergeCell ref="G39:H39"/>
    <mergeCell ref="D57:F57"/>
    <mergeCell ref="G57:H57"/>
    <mergeCell ref="D43:F43"/>
    <mergeCell ref="G43:H43"/>
    <mergeCell ref="D42:F42"/>
    <mergeCell ref="G42:H42"/>
    <mergeCell ref="D44:F44"/>
    <mergeCell ref="G44:H44"/>
    <mergeCell ref="D55:H55"/>
    <mergeCell ref="D56:F56"/>
    <mergeCell ref="G56:H56"/>
    <mergeCell ref="I39:J39"/>
    <mergeCell ref="D54:F54"/>
    <mergeCell ref="G54:H5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workbookViewId="0">
      <selection activeCell="N6" sqref="N6"/>
    </sheetView>
  </sheetViews>
  <sheetFormatPr defaultRowHeight="15"/>
  <cols>
    <col min="1" max="1" width="2" customWidth="1"/>
    <col min="2" max="2" width="4" customWidth="1"/>
    <col min="3" max="3" width="8.140625" customWidth="1"/>
    <col min="4" max="4" width="15" customWidth="1"/>
    <col min="5" max="5" width="8.140625" customWidth="1"/>
    <col min="6" max="6" width="13.28515625" customWidth="1"/>
    <col min="7" max="7" width="10" customWidth="1"/>
  </cols>
  <sheetData>
    <row r="2" spans="2:15" s="1" customFormat="1" ht="47.25" customHeight="1">
      <c r="B2" s="5"/>
      <c r="C2" s="5"/>
      <c r="D2" s="5"/>
      <c r="E2" s="5"/>
      <c r="F2" s="5"/>
      <c r="G2" s="6"/>
      <c r="H2" s="5"/>
      <c r="I2" s="5"/>
      <c r="J2" s="5"/>
    </row>
    <row r="3" spans="2:15" ht="44.25" customHeight="1">
      <c r="B3" s="4"/>
      <c r="C3" s="7"/>
      <c r="D3" s="8"/>
      <c r="E3" s="9"/>
      <c r="F3" s="10"/>
      <c r="G3" s="11"/>
      <c r="H3" s="10"/>
      <c r="I3" s="10"/>
      <c r="J3" s="12"/>
    </row>
    <row r="4" spans="2:15" ht="53.25" customHeight="1">
      <c r="B4" s="4"/>
      <c r="C4" s="7"/>
      <c r="D4" s="10"/>
      <c r="E4" s="9"/>
      <c r="F4" s="10"/>
      <c r="G4" s="11"/>
      <c r="H4" s="10"/>
      <c r="I4" s="10"/>
      <c r="J4" s="12"/>
    </row>
    <row r="5" spans="2:15" ht="29.25" customHeight="1">
      <c r="B5" s="4"/>
      <c r="C5" s="7"/>
      <c r="D5" s="10"/>
      <c r="E5" s="9"/>
      <c r="F5" s="8"/>
      <c r="G5" s="11"/>
      <c r="H5" s="8"/>
      <c r="I5" s="10"/>
      <c r="J5" s="12"/>
    </row>
    <row r="6" spans="2:15" ht="28.5" customHeight="1">
      <c r="B6" s="4"/>
      <c r="C6" s="7"/>
      <c r="D6" s="10"/>
      <c r="E6" s="9"/>
      <c r="F6" s="8"/>
      <c r="G6" s="11"/>
      <c r="H6" s="13"/>
      <c r="I6" s="10"/>
      <c r="J6" s="12"/>
    </row>
    <row r="7" spans="2:15" ht="28.5" customHeight="1">
      <c r="B7" s="4"/>
      <c r="C7" s="7"/>
      <c r="D7" s="10"/>
      <c r="E7" s="9"/>
      <c r="F7" s="8"/>
      <c r="G7" s="11"/>
      <c r="H7" s="8"/>
      <c r="I7" s="10"/>
      <c r="J7" s="12"/>
      <c r="O7" s="3"/>
    </row>
    <row r="8" spans="2:15" ht="30.75" customHeight="1">
      <c r="B8" s="4"/>
      <c r="C8" s="7"/>
      <c r="D8" s="10"/>
      <c r="E8" s="9"/>
      <c r="F8" s="8"/>
      <c r="G8" s="11"/>
      <c r="H8" s="10"/>
      <c r="I8" s="10"/>
      <c r="J8" s="12"/>
    </row>
    <row r="9" spans="2:15">
      <c r="B9" s="14"/>
      <c r="C9" s="95"/>
      <c r="D9" s="95"/>
      <c r="E9" s="95"/>
      <c r="F9" s="95"/>
      <c r="G9" s="95"/>
      <c r="H9" s="95"/>
      <c r="I9" s="95"/>
      <c r="J9" s="15"/>
    </row>
    <row r="10" spans="2:15">
      <c r="B10" s="14"/>
      <c r="C10" s="95"/>
      <c r="D10" s="95"/>
      <c r="E10" s="95"/>
      <c r="F10" s="95"/>
      <c r="G10" s="95"/>
      <c r="H10" s="95"/>
      <c r="I10" s="95"/>
      <c r="J10" s="15"/>
    </row>
    <row r="11" spans="2:15">
      <c r="B11" s="14"/>
      <c r="C11" s="95"/>
      <c r="D11" s="95"/>
      <c r="E11" s="95"/>
      <c r="F11" s="95"/>
      <c r="G11" s="95"/>
      <c r="H11" s="95"/>
      <c r="I11" s="95"/>
      <c r="J11" s="15"/>
    </row>
    <row r="12" spans="2:15">
      <c r="B12" s="14"/>
      <c r="C12" s="95"/>
      <c r="D12" s="95"/>
      <c r="E12" s="95"/>
      <c r="F12" s="95"/>
      <c r="G12" s="95"/>
      <c r="H12" s="95"/>
      <c r="I12" s="95"/>
      <c r="J12" s="15"/>
    </row>
    <row r="14" spans="2:15">
      <c r="E14" s="2"/>
    </row>
    <row r="20" spans="4:4">
      <c r="D20">
        <v>2</v>
      </c>
    </row>
  </sheetData>
  <mergeCells count="4">
    <mergeCell ref="C9:I9"/>
    <mergeCell ref="C10:I10"/>
    <mergeCell ref="C11:I11"/>
    <mergeCell ref="C12:I1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Mugunthan</dc:creator>
  <cp:lastModifiedBy>NAVEEN</cp:lastModifiedBy>
  <cp:lastPrinted>2026-07-02T04:34:39Z</cp:lastPrinted>
  <dcterms:created xsi:type="dcterms:W3CDTF">2022-12-10T10:37:46Z</dcterms:created>
  <dcterms:modified xsi:type="dcterms:W3CDTF">2026-07-25T13:55:36Z</dcterms:modified>
</cp:coreProperties>
</file>
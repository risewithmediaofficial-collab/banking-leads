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40"/>
  </bookViews>
  <sheets>
    <sheet sheetId="1" name="Table 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<sst xmlns="http://schemas.openxmlformats.org/spreadsheetml/2006/main" count="278" uniqueCount="158">
  <si>
    <r>
      <rPr>
        <b/>
        <u/>
        <color theme="1"/>
        <family val="1"/>
        <sz val="11"/>
        <rFont val="Times New Roman"/>
      </rPr>
      <t>VENDOR BILL</t>
    </r>
  </si>
  <si>
    <t>Invoice No: 007RKD/NHF/JUL /2026</t>
  </si>
  <si>
    <t>Date</t>
  </si>
  <si>
    <t>01.08.2026</t>
  </si>
  <si>
    <t>To,</t>
  </si>
  <si>
    <t xml:space="preserve">Nivara Home Finance Ltd.,                                                                                       GST No. 33AAECN7936M1Z0,                                                                                   Address: No.22/2nd floor,                                                                                                     Sri VariTowers,                                                                                                  Rayakotta Road, Sanasandiram, Hosur,                                                                        Pin Code - 635 109       </t>
  </si>
  <si>
    <t>Sub: Bill for the Month of July and Year of 2026</t>
  </si>
  <si>
    <t>Details of associated cases as below,</t>
  </si>
  <si>
    <t>S.No</t>
  </si>
  <si>
    <r>
      <rPr>
        <b/>
        <color theme="1"/>
        <family val="1"/>
        <sz val="11"/>
        <rFont val="Times New Roman"/>
      </rPr>
      <t xml:space="preserve">Name of the
Applicant</t>
    </r>
  </si>
  <si>
    <r>
      <rPr>
        <b/>
        <color theme="1"/>
        <family val="1"/>
        <sz val="11"/>
        <rFont val="Times New Roman"/>
      </rPr>
      <t xml:space="preserve">Date of
Initiation</t>
    </r>
  </si>
  <si>
    <t>Property Location</t>
  </si>
  <si>
    <t xml:space="preserve">Distance from branch 
in Kms.</t>
  </si>
  <si>
    <r>
      <rPr>
        <b/>
        <color theme="1"/>
        <family val="1"/>
        <sz val="11"/>
        <rFont val="Times New Roman"/>
      </rPr>
      <t xml:space="preserve">Fresh stage
report</t>
    </r>
  </si>
  <si>
    <t>Amount    (In Rs.)</t>
  </si>
  <si>
    <t>JOB CARD NO.</t>
  </si>
  <si>
    <t>KRISHNAGIRI</t>
  </si>
  <si>
    <t>Mrs.Govindammal</t>
  </si>
  <si>
    <t>01.07.2026</t>
  </si>
  <si>
    <t>SF No.326/1E, Kaveripattinam, Krishnagiri  Dt.635112</t>
  </si>
  <si>
    <t>Fresh</t>
  </si>
  <si>
    <t>K</t>
  </si>
  <si>
    <t>Mrs.Sharmila,</t>
  </si>
  <si>
    <t>02.07.2026</t>
  </si>
  <si>
    <t>Door No.2/966, Ettipalli Village, Naralagiri Post, Krishnagiri Taluk &amp; District, Pin - 635 121.</t>
  </si>
  <si>
    <t xml:space="preserve">Mr. S. Mani
</t>
  </si>
  <si>
    <t>14.07.2026</t>
  </si>
  <si>
    <t>Gowndanor, Sonarahalli Village &amp; Post, Pochampalli Taluk, Krishnagiri District, Pin- 635 306.</t>
  </si>
  <si>
    <t xml:space="preserve">Mrs. Kanthamma
</t>
  </si>
  <si>
    <t>Neralakottai Village, Emakkalnatham Post, Bargur Taluk, Krishnagiri District, Pin – 635 206.</t>
  </si>
  <si>
    <t xml:space="preserve">Munila
</t>
  </si>
  <si>
    <t>Keeymorasappatti Village, Hosahalli Post, Shoolagiri Taluk, Krishnagiri District, Pin – 635117.</t>
  </si>
  <si>
    <t xml:space="preserve">Mrs.Rajeshwari,
</t>
  </si>
  <si>
    <t>Land in Sf. No. 26/8C2 (Old. Sf. No. 26/8C Part), Pattakanur Village, Badapalli Post, Uthangarai Taluk, Krishnagiri District, Pin – 635 306.</t>
  </si>
  <si>
    <t>Total</t>
  </si>
  <si>
    <t>DHARMAPURI</t>
  </si>
  <si>
    <t>Mrs.Vijayakumari</t>
  </si>
  <si>
    <t>Pappichettipatti Village, Gopichettipalayam Post, Pappireddipatti Taluk, Dharmapuri District, Pin – 635 305.</t>
  </si>
  <si>
    <t>Mrs.Thanjammal</t>
  </si>
  <si>
    <t>16.07.2026</t>
  </si>
  <si>
    <t>SF No.447/1,Karimangalam Village,Karimangalam taluk,Karimangalam SRO ,Dharmapuri Dist</t>
  </si>
  <si>
    <t>Mrs. Palaniyammal</t>
  </si>
  <si>
    <t>17.07.2026</t>
  </si>
  <si>
    <t>Land in Natham Sf. No. 76/3B82(Old Natham Sf. No. 76/3B) of Gettuhalli Colony, Gettuhalli Village, Pangunatham Post, Nallampalli Taluk, Dharmapuri District, Pin – 636 803.</t>
  </si>
  <si>
    <t>TIRUPATTUR</t>
  </si>
  <si>
    <t>Mrs.Deiva</t>
  </si>
  <si>
    <t>Sy No.679/3C. at Kuddur Village, Bargur Taluk &amp; Pochampalli-SRO, Krishnagiri Dt.</t>
  </si>
  <si>
    <t>T</t>
  </si>
  <si>
    <t>Mrs.Priya</t>
  </si>
  <si>
    <t>03.07.2026</t>
  </si>
  <si>
    <t>Door No.275, Roja Street, Pathapet, Vaniyambadi Village, Jaffarabad Post, Vaniyambadi Taluk, Tirupattur District, Pin – 635 754.</t>
  </si>
  <si>
    <t>Samundeeswari</t>
  </si>
  <si>
    <t>Sy No.17/2, 17/7. Lakkinayakkampatti Village, Tirupattur Taluk &amp; Tirupattur-SRO, Tirupattur Dt.</t>
  </si>
  <si>
    <t>Mrs. Dhanalakshmi,</t>
  </si>
  <si>
    <t>06.07.2026</t>
  </si>
  <si>
    <t>Land in Natham Sf. No. 744/16 (Old Natham Sf. No. 162, Nimmiyambattu Village &amp; Post, Vaniyambadi Taluk, Tirupathur District, Pin - 635 752.</t>
  </si>
  <si>
    <t>SELVAMANI SUBRAMANI</t>
  </si>
  <si>
    <t>08.07.2026</t>
  </si>
  <si>
    <t>Jawaharlal Nehru street, Ambur Town &amp; Post, Ambur Taluk, Tirupattur District, Pin – 635 802.</t>
  </si>
  <si>
    <t xml:space="preserve">Mrs.Gomathi    
</t>
  </si>
  <si>
    <t>15.07.2026</t>
  </si>
  <si>
    <t xml:space="preserve">                                                                    Sy No.251/3. Poongulam, Vaniyambadi Taluk &amp; Tirupattur-SRO, Tirupattur Dt.
</t>
  </si>
  <si>
    <t>Mrs.Ramavathi</t>
  </si>
  <si>
    <t>19.07.2026</t>
  </si>
  <si>
    <t>Land in Sf. Nos. 72/2A1 Part , (Old Sf. No. 72/2) of Girisamuthiram Village &amp; Post, Vaniyambadi Taluk, Tirrupathur District.Pin -635751.</t>
  </si>
  <si>
    <t>Mrs. Bharathi</t>
  </si>
  <si>
    <t>Bharathi Nagar, Tirupattur Village &amp; Post, Tirupattur Taluk &amp; District, Pin – 635 601.</t>
  </si>
  <si>
    <t xml:space="preserve">Mrs.Rajeshwari
 </t>
  </si>
  <si>
    <t>27.07.2026</t>
  </si>
  <si>
    <t xml:space="preserve">                                                   Sy No.225/3. Pachal Village, Tirupattur Taluk, Tirupattur-SRO, Tirupattur Dt.
</t>
  </si>
  <si>
    <t>HOSUR</t>
  </si>
  <si>
    <t>Mrs. Maheswari &amp; Mr.Muthu</t>
  </si>
  <si>
    <t>Door No. 12A, Anna Nagar (Anna Colony), Hosur Town, Anna Nagar Post, Hosur Municipal corporation &amp; Taluk, Krishnagiri District, Pin – 635 109.</t>
  </si>
  <si>
    <t>H</t>
  </si>
  <si>
    <t>Mrs.Shoba Mr.Chinnaraju</t>
  </si>
  <si>
    <t>Plot No. 26, Karupalli Village, Onnalvadi post, Near to Patalamman Nagar, Hosur Taluk &amp; District, Pin- 635 115</t>
  </si>
  <si>
    <t>Mrs.Rajeshwari &amp; Mr.Vijayasankar</t>
  </si>
  <si>
    <t>Avai Colony,  Athiyamankottai,Dharmapuri Dt.</t>
  </si>
  <si>
    <t>Vijaya</t>
  </si>
  <si>
    <t>11.07.2026</t>
  </si>
  <si>
    <t>Door No. 3/81, Chikkapoovathi Village, Krishnagiri Taluk &amp; District, Pin – 635122.</t>
  </si>
  <si>
    <t>Mrs. Venkatamma,</t>
  </si>
  <si>
    <t>12.07.2026</t>
  </si>
  <si>
    <t>Kothakondapalli Village &amp; Post, Hosur Taluk, Krishnagiri District, Pin – 635 109.</t>
  </si>
  <si>
    <t>Mrs. Meena &amp; Mr. Govindaraj</t>
  </si>
  <si>
    <t>Door No. 4/46B, A.Murukkampatti, Murukkampatti Village &amp; Post, Karimangalam Taluk, Dharmapuri District, Pin – 635 202.</t>
  </si>
  <si>
    <t>Mrs. Swathi</t>
  </si>
  <si>
    <t>10.07.2026</t>
  </si>
  <si>
    <t>Marudanapalli Village, Denkanikottai Taluk, Krishnagiri District, Pin – 635 107.</t>
  </si>
  <si>
    <t>Mrs.Mariyammal &amp; Mr.Perumal</t>
  </si>
  <si>
    <t>SF No.429/1A,Mokkanahalli,  Village,NallaMpalli Taluk , Dharmapuri Dt.</t>
  </si>
  <si>
    <t xml:space="preserve">Mrs.Renukkamma &amp; Mr.Murugesh  </t>
  </si>
  <si>
    <t>Sf No. Parayapatti Village &amp; , Kelamangalam Village, Denkanikottai Taluk, Krishnagiri District.</t>
  </si>
  <si>
    <t>Mrs. Saranya &amp; Mr. Prabakaran</t>
  </si>
  <si>
    <t>Door No. 2/74, Dhasampatti Village &amp; Post, Pennagaram Taluk, Dharmapuri District, Pin – 636 810.</t>
  </si>
  <si>
    <t>Mrs.Jeena &amp; Mr.Anilkumar</t>
  </si>
  <si>
    <t>Door No.1/460/C, Ramapuram, Meenandoddi Village &amp; Post, Kumbalam Panchayat, Shoolagiri Taluk, Krishnagiri District, Pin – 635 105.</t>
  </si>
  <si>
    <t>Mrs. Savithiri&amp; Mr. Prakash</t>
  </si>
  <si>
    <t>20.07.2026</t>
  </si>
  <si>
    <t>Door No. 457/8, Parvathi Nagar, Chennathur Village &amp; Post, Hosur Twon &amp; Taluk, Krishnagiri District, Pin – 635 109.</t>
  </si>
  <si>
    <t xml:space="preserve">Mrs. Visithira &amp; Mr. Vediyappan
 </t>
  </si>
  <si>
    <t>19.06.2026</t>
  </si>
  <si>
    <t>Door No. 2/253, Kollapatti Village, Pikili Post, Pennagaram Taluk, Dharmapuri District, Pin – 636 809.</t>
  </si>
  <si>
    <t xml:space="preserve">Fresh - Revisit </t>
  </si>
  <si>
    <t>SAJAPURA</t>
  </si>
  <si>
    <t>Mrs. KANAGAMMA PILLAPPA</t>
  </si>
  <si>
    <t>Sf. No. 390/2B2A of Anekkollu Village &amp; Post, Denkanikota Taluk, Krishnagiri District, Pin – 6351 13.</t>
  </si>
  <si>
    <t>ANEKAL</t>
  </si>
  <si>
    <t>Mrs.Karthika, Mr.Jothimurugan &amp; Mr.Sokkan</t>
  </si>
  <si>
    <t>13.07.2026</t>
  </si>
  <si>
    <t>Door No.3/47,Murugan Kovil Street, Boothanatham Village &amp; Panchayat, Menasi Post, Pappireddipatti Taluk, Dharmapuri District, Pin – 636 904.</t>
  </si>
  <si>
    <t xml:space="preserve">Mrs.SANGEETHA &amp; MR.KUMAR </t>
  </si>
  <si>
    <t>Sf. No. 983/3, Pachanapatti Village, Denkanikottai, Krishnagiri Dt.</t>
  </si>
  <si>
    <t>Mrs. Amutha &amp; Mr.Kaliappa</t>
  </si>
  <si>
    <t>25.07.2026</t>
  </si>
  <si>
    <t>Door Nos, 1/817 &amp; 1/818, Amarai Nagar, Jadaiyan kottai Village, Kelavail Post, Karimangalam Tk., Dharmapuri Dt., Pin – 635 202.</t>
  </si>
  <si>
    <t>POCHAMPALLI</t>
  </si>
  <si>
    <t>Mrs.Chitra</t>
  </si>
  <si>
    <t>SF No.441/2, Panathur Village,Pochampalli,  SRO, Krishnagiri Dt.</t>
  </si>
  <si>
    <t>Mrs. Pachammal</t>
  </si>
  <si>
    <t>07.07.2026</t>
  </si>
  <si>
    <t>Plot no. 86, 87, 88, 89 &amp; 90 of Nethaji Nagar, Jinjupalli Village, Thippanapalli Post, Bargur Taluk, Krishnagiri District, Pin – 635 115.</t>
  </si>
  <si>
    <t>Mrs.Yamuna</t>
  </si>
  <si>
    <t>Door No.3/156/A, Chinna Karadiyur,Veeramalai Revenue Village &amp; Panchayat, Pochampalli Taluk, Krishnagiri District, Pin – 635 206.</t>
  </si>
  <si>
    <t>Mrs.Sumathi</t>
  </si>
  <si>
    <t>SF No.692/19, Vepplampatti, Village,Pochampalli,  SRO, Krishnagiri Dt.</t>
  </si>
  <si>
    <t>Mrs.Uma</t>
  </si>
  <si>
    <t>SF No.217/1A1A, Vadamalampatti, Village,Pochampalli,  SRO, Krishnagiri Dt.</t>
  </si>
  <si>
    <t>Mrs.Kanmani</t>
  </si>
  <si>
    <t>21.07.2026</t>
  </si>
  <si>
    <t>SF No.639/2, Kendakampatti, Village,Pochampalli,  SRO, Krishnagiri Dt.</t>
  </si>
  <si>
    <t>Mrs.Arthi</t>
  </si>
  <si>
    <t>23.07.2026</t>
  </si>
  <si>
    <t>SF No.132/2A5, Elavadai, Village,Morapoor,  SRO, Dharmapuri Dt.</t>
  </si>
  <si>
    <t>Mrs. Sali</t>
  </si>
  <si>
    <t>Door No. 65 (As reported), Ettiyampatti Village, Ponneri Post, Harur Taluk, Dharmapuri District, Pin – 636903.</t>
  </si>
  <si>
    <t>Mrs. Ayasha,</t>
  </si>
  <si>
    <t>26.07.2026</t>
  </si>
  <si>
    <t>Panakatoor Village, Jingalkathirampatti Post, Pochampalli Taluk, Krishnagiri District, Pin – 635 201.</t>
  </si>
  <si>
    <t>Mrs.Paramashwari</t>
  </si>
  <si>
    <t>28.07.2026</t>
  </si>
  <si>
    <t>Land in Sf. No.670/3A1B of Kannandahalli Village &amp; Post, Pochampalli Taluk, Krishnagiri District. Pin - 635 203.</t>
  </si>
  <si>
    <t>Mrs.Alamelu</t>
  </si>
  <si>
    <t>SF No.414/1D, Sevathur, Village,Thirupathur,  SRO, Thirupathur Dt.</t>
  </si>
  <si>
    <t>Bhuvaneshwari</t>
  </si>
  <si>
    <t>SF No.287/4A, Pendrahalli, Village,Barur,  SRO, Dharmapuri Dt.</t>
  </si>
  <si>
    <t>Mrs.Anitha</t>
  </si>
  <si>
    <t>31.07.2026</t>
  </si>
  <si>
    <t>SF No.433/1K, Murukkampatti, Karimangalam,,  SRO, Dharmapuri Dt.</t>
  </si>
  <si>
    <t>Total Amount (In Rs.)</t>
  </si>
  <si>
    <r>
      <t xml:space="preserve">Amount in words: </t>
    </r>
    <r>
      <rPr>
        <b/>
        <color theme="1"/>
        <family val="1"/>
        <sz val="11"/>
        <rFont val="Times New Roman"/>
      </rPr>
      <t>Rupees seventy one thousand two hundred and fifty only</t>
    </r>
  </si>
  <si>
    <t>PAN No.           : AHVPR 9342J</t>
  </si>
  <si>
    <t>HSN/SAC code :</t>
  </si>
  <si>
    <t>Favoring Name : Er. R. Ramesh Babu</t>
  </si>
  <si>
    <t>Bank Name      : Karur Vysya bank, Krishnagiri</t>
  </si>
  <si>
    <t>Account No.    : 1277 155 00000 0923</t>
  </si>
  <si>
    <t>IFSC Code      : KVBL0001277</t>
  </si>
  <si>
    <t>(Rupees Thirty one thousand and five hundred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</si>
</sst>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;@"/>
  </numFmts>
  <fonts count="10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color theme="1"/>
      <family val="1"/>
      <sz val="10"/>
      <name val="Times New Roman"/>
    </font>
    <font>
      <b/>
      <color theme="1"/>
      <family val="1"/>
      <sz val="10"/>
      <name val="Times New Roman"/>
    </font>
    <font>
      <b/>
      <color theme="1"/>
      <family val="1"/>
      <sz val="9"/>
      <name val="Times New Roman"/>
    </font>
    <font>
      <color theme="1"/>
      <family val="1"/>
      <sz val="9"/>
      <name val="Times New Roman"/>
    </font>
    <font>
      <b/>
      <color theme="1"/>
      <family val="1"/>
      <sz val="12"/>
      <name val="Times New Roman"/>
    </font>
    <font>
      <color rgb="FF000000"/>
      <family val="1"/>
      <sz val="11"/>
      <name val="Times New Roman"/>
    </font>
    <font>
      <b/>
      <family val="1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1" fontId="1" fillId="0" borderId="0" xfId="0" applyNumberFormat="1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center" shrinkToFit="1"/>
    </xf>
    <xf numFmtId="2" fontId="2" fillId="0" borderId="6" xfId="0" applyNumberFormat="1" applyFont="1" applyBorder="1" applyAlignment="1">
      <alignment horizontal="center" vertical="center" shrinkToFi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vertical="center" shrinkToFit="1"/>
    </xf>
    <xf numFmtId="2" fontId="2" fillId="0" borderId="6" xfId="0" applyNumberFormat="1" applyFont="1" applyBorder="1" applyAlignment="1">
      <alignment vertical="center" shrinkToFi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3" borderId="7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16070</xdr:colOff>
      <xdr:row>0</xdr:row>
      <xdr:rowOff>105815</xdr:rowOff>
    </xdr:from>
    <xdr:ext cx="5562008" cy="198373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"/>
  <sheetViews>
    <sheetView workbookViewId="0" zoomScale="93" zoomScaleNormal="93">
      <selection activeCell="P74" sqref="P74"/>
    </sheetView>
  </sheetViews>
  <sheetFormatPr defaultRowHeight="14" outlineLevelRow="0" outlineLevelCol="0" x14ac:dyDescent="0.3" defaultColWidth="9.296875" customHeight="1"/>
  <cols>
    <col min="1" max="1" width="3" style="1" customWidth="1"/>
    <col min="2" max="2" width="5.296875" style="2" customWidth="1"/>
    <col min="3" max="3" width="17.296875" style="2" customWidth="1"/>
    <col min="4" max="4" width="10.296875" style="2" customWidth="1"/>
    <col min="5" max="5" width="28.796875" style="2" customWidth="1"/>
    <col min="6" max="7" width="10.296875" style="2" customWidth="1"/>
    <col min="8" max="8" width="11.5" style="2" customWidth="1"/>
    <col min="9" max="9" width="0.5" style="1" customWidth="1"/>
    <col min="10" max="10" width="2.3984375" style="1" customWidth="1"/>
    <col min="11" max="11" width="3.8984375" style="1" customWidth="1"/>
    <col min="12" max="12" width="6.296875" style="1" customWidth="1"/>
    <col min="13" max="13" width="5.5" style="1" customWidth="1"/>
    <col min="14" max="16384" width="9.296875" style="1" customWidth="1"/>
  </cols>
  <sheetData>
    <row r="1" ht="132.75" customHeight="1" x14ac:dyDescent="0.25"/>
    <row r="2" ht="54.75" customHeight="1" x14ac:dyDescent="0.25"/>
    <row r="3" ht="18.25" customHeight="1" spans="2:8" x14ac:dyDescent="0.25">
      <c r="B3" s="3"/>
      <c r="C3" s="3"/>
      <c r="D3" s="3"/>
      <c r="E3" s="4" t="s">
        <v>0</v>
      </c>
      <c r="F3" s="3"/>
      <c r="G3" s="3"/>
      <c r="H3" s="3"/>
    </row>
    <row r="4" ht="50.25" customHeight="1" spans="2:8" x14ac:dyDescent="0.25">
      <c r="B4" s="3"/>
      <c r="C4" s="4" t="s">
        <v>1</v>
      </c>
      <c r="D4" s="4"/>
      <c r="E4" s="3"/>
      <c r="F4" s="4" t="s">
        <v>2</v>
      </c>
      <c r="G4" s="5" t="s">
        <v>3</v>
      </c>
      <c r="H4" s="3"/>
    </row>
    <row r="5" ht="16.75" customHeight="1" spans="2:8" x14ac:dyDescent="0.25">
      <c r="B5" s="6" t="s">
        <v>4</v>
      </c>
      <c r="C5" s="6"/>
      <c r="D5" s="6"/>
      <c r="E5" s="6"/>
      <c r="F5" s="6"/>
      <c r="G5" s="3"/>
      <c r="H5" s="3"/>
    </row>
    <row r="6" ht="111.75" customHeight="1" spans="2:8" x14ac:dyDescent="0.25">
      <c r="B6" s="7" t="s">
        <v>5</v>
      </c>
      <c r="C6" s="7"/>
      <c r="D6" s="7"/>
      <c r="E6" s="7"/>
      <c r="F6" s="7"/>
      <c r="G6" s="3"/>
      <c r="H6" s="3"/>
    </row>
    <row r="7" ht="28.5" customHeight="1" spans="2:8" x14ac:dyDescent="0.25">
      <c r="B7" s="3"/>
      <c r="C7" s="3"/>
      <c r="D7" s="3" t="s">
        <v>6</v>
      </c>
      <c r="E7" s="3"/>
      <c r="F7" s="3"/>
      <c r="G7" s="3"/>
      <c r="H7" s="3"/>
    </row>
    <row r="8" ht="21" customHeight="1" spans="2:8" x14ac:dyDescent="0.25">
      <c r="B8" s="3"/>
      <c r="C8" s="3"/>
      <c r="D8" s="8" t="s">
        <v>7</v>
      </c>
      <c r="E8" s="8"/>
      <c r="F8" s="8"/>
      <c r="G8" s="3"/>
      <c r="H8" s="3"/>
    </row>
    <row r="9" ht="55.5" customHeight="1" spans="2:11" x14ac:dyDescent="0.25">
      <c r="B9" s="9" t="s">
        <v>8</v>
      </c>
      <c r="C9" s="10" t="s">
        <v>9</v>
      </c>
      <c r="D9" s="10" t="s">
        <v>10</v>
      </c>
      <c r="E9" s="9" t="s">
        <v>11</v>
      </c>
      <c r="F9" s="9" t="s">
        <v>12</v>
      </c>
      <c r="G9" s="10" t="s">
        <v>13</v>
      </c>
      <c r="H9" s="9" t="s">
        <v>14</v>
      </c>
      <c r="J9" s="11" t="s">
        <v>15</v>
      </c>
      <c r="K9" s="11"/>
    </row>
    <row r="10" ht="15" customHeight="1" spans="2:8" x14ac:dyDescent="0.25">
      <c r="B10" s="12" t="s">
        <v>16</v>
      </c>
      <c r="C10" s="12"/>
      <c r="D10" s="12"/>
      <c r="E10" s="12"/>
      <c r="F10" s="12"/>
      <c r="G10" s="12"/>
      <c r="H10" s="12"/>
    </row>
    <row r="11" ht="30" customHeight="1" spans="2:11" s="1" customFormat="1" x14ac:dyDescent="0.25">
      <c r="B11" s="13">
        <v>1</v>
      </c>
      <c r="C11" s="14" t="s">
        <v>17</v>
      </c>
      <c r="D11" s="15" t="s">
        <v>18</v>
      </c>
      <c r="E11" s="14" t="s">
        <v>19</v>
      </c>
      <c r="F11" s="16">
        <v>15</v>
      </c>
      <c r="G11" s="14" t="s">
        <v>20</v>
      </c>
      <c r="H11" s="16">
        <v>1500</v>
      </c>
      <c r="J11" s="2" t="s">
        <v>21</v>
      </c>
      <c r="K11" s="2">
        <v>4</v>
      </c>
    </row>
    <row r="12" ht="84.75" customHeight="1" spans="2:11" s="1" customFormat="1" x14ac:dyDescent="0.25">
      <c r="B12" s="17">
        <v>2</v>
      </c>
      <c r="C12" s="18" t="s">
        <v>22</v>
      </c>
      <c r="D12" s="19" t="s">
        <v>23</v>
      </c>
      <c r="E12" s="18" t="s">
        <v>24</v>
      </c>
      <c r="F12" s="20">
        <v>31</v>
      </c>
      <c r="G12" s="18" t="s">
        <v>20</v>
      </c>
      <c r="H12" s="20">
        <v>1500</v>
      </c>
      <c r="J12" s="2" t="s">
        <v>21</v>
      </c>
      <c r="K12" s="2">
        <v>6</v>
      </c>
    </row>
    <row r="13" ht="97.5" customHeight="1" spans="2:11" s="1" customFormat="1" x14ac:dyDescent="0.25">
      <c r="B13" s="13">
        <v>3</v>
      </c>
      <c r="C13" s="18" t="s">
        <v>25</v>
      </c>
      <c r="D13" s="19" t="s">
        <v>26</v>
      </c>
      <c r="E13" s="18" t="s">
        <v>27</v>
      </c>
      <c r="F13" s="20">
        <v>31</v>
      </c>
      <c r="G13" s="18" t="s">
        <v>20</v>
      </c>
      <c r="H13" s="20">
        <v>1500</v>
      </c>
      <c r="J13" s="2" t="s">
        <v>21</v>
      </c>
      <c r="K13" s="2">
        <v>73</v>
      </c>
    </row>
    <row r="14" ht="52" customHeight="1" spans="2:11" s="1" customFormat="1" x14ac:dyDescent="0.25">
      <c r="B14" s="17">
        <v>4</v>
      </c>
      <c r="C14" s="18" t="s">
        <v>28</v>
      </c>
      <c r="D14" s="19" t="s">
        <v>26</v>
      </c>
      <c r="E14" s="18" t="s">
        <v>29</v>
      </c>
      <c r="F14" s="20">
        <v>21</v>
      </c>
      <c r="G14" s="18" t="s">
        <v>20</v>
      </c>
      <c r="H14" s="20">
        <v>1500</v>
      </c>
      <c r="J14" s="2" t="s">
        <v>21</v>
      </c>
      <c r="K14" s="2">
        <v>83</v>
      </c>
    </row>
    <row r="15" ht="52" customHeight="1" spans="2:16" s="1" customFormat="1" x14ac:dyDescent="0.25">
      <c r="B15" s="17">
        <v>5</v>
      </c>
      <c r="C15" s="18" t="s">
        <v>30</v>
      </c>
      <c r="D15" s="19" t="s">
        <v>26</v>
      </c>
      <c r="E15" s="18" t="s">
        <v>31</v>
      </c>
      <c r="F15" s="20">
        <v>24</v>
      </c>
      <c r="G15" s="18" t="s">
        <v>20</v>
      </c>
      <c r="H15" s="20">
        <v>1500</v>
      </c>
      <c r="J15" s="2" t="s">
        <v>21</v>
      </c>
      <c r="K15" s="2">
        <v>87</v>
      </c>
      <c r="P15" s="21">
        <f>B16+B22+B35+B51+B56+B62+B78</f>
        <v>47</v>
      </c>
    </row>
    <row r="16" ht="65" customHeight="1" spans="2:11" s="1" customFormat="1" x14ac:dyDescent="0.25">
      <c r="B16" s="17">
        <v>6</v>
      </c>
      <c r="C16" s="18" t="s">
        <v>32</v>
      </c>
      <c r="D16" s="19" t="s">
        <v>26</v>
      </c>
      <c r="E16" s="18" t="s">
        <v>33</v>
      </c>
      <c r="F16" s="20">
        <v>46</v>
      </c>
      <c r="G16" s="18" t="s">
        <v>20</v>
      </c>
      <c r="H16" s="20">
        <v>1500</v>
      </c>
      <c r="J16" s="2" t="s">
        <v>21</v>
      </c>
      <c r="K16" s="2">
        <v>89</v>
      </c>
    </row>
    <row r="17" ht="15.75" customHeight="1" spans="2:8" x14ac:dyDescent="0.25">
      <c r="B17" s="22" t="s">
        <v>34</v>
      </c>
      <c r="C17" s="23"/>
      <c r="D17" s="23"/>
      <c r="E17" s="23"/>
      <c r="F17" s="24"/>
      <c r="G17" s="25">
        <f>SUM(H11:H16)</f>
        <v>9000</v>
      </c>
      <c r="H17" s="26"/>
    </row>
    <row r="18" ht="15.75" customHeight="1" spans="2:8" x14ac:dyDescent="0.25">
      <c r="B18" s="22"/>
      <c r="C18" s="23"/>
      <c r="D18" s="23"/>
      <c r="E18" s="23"/>
      <c r="F18" s="24"/>
      <c r="G18" s="25"/>
      <c r="H18" s="26"/>
    </row>
    <row r="19" ht="19.5" customHeight="1" spans="2:8" x14ac:dyDescent="0.25">
      <c r="B19" s="12" t="s">
        <v>35</v>
      </c>
      <c r="C19" s="12"/>
      <c r="D19" s="12"/>
      <c r="E19" s="12"/>
      <c r="F19" s="12"/>
      <c r="G19" s="12"/>
      <c r="H19" s="12"/>
    </row>
    <row r="20" ht="64.5" customHeight="1" spans="2:11" x14ac:dyDescent="0.25">
      <c r="B20" s="17">
        <v>1</v>
      </c>
      <c r="C20" s="18" t="s">
        <v>36</v>
      </c>
      <c r="D20" s="19" t="s">
        <v>23</v>
      </c>
      <c r="E20" s="18" t="s">
        <v>37</v>
      </c>
      <c r="F20" s="20">
        <v>37</v>
      </c>
      <c r="G20" s="18" t="s">
        <v>20</v>
      </c>
      <c r="H20" s="20">
        <v>1500</v>
      </c>
      <c r="J20" s="2" t="s">
        <v>21</v>
      </c>
      <c r="K20" s="2">
        <v>8</v>
      </c>
    </row>
    <row r="21" ht="62.25" customHeight="1" spans="2:11" x14ac:dyDescent="0.25">
      <c r="B21" s="17">
        <v>2</v>
      </c>
      <c r="C21" s="18" t="s">
        <v>38</v>
      </c>
      <c r="D21" s="19" t="s">
        <v>39</v>
      </c>
      <c r="E21" s="18" t="s">
        <v>40</v>
      </c>
      <c r="F21" s="20">
        <v>25</v>
      </c>
      <c r="G21" s="18" t="s">
        <v>20</v>
      </c>
      <c r="H21" s="20">
        <v>1500</v>
      </c>
      <c r="J21" s="2" t="s">
        <v>21</v>
      </c>
      <c r="K21" s="2">
        <v>84</v>
      </c>
    </row>
    <row r="22" ht="91" customHeight="1" spans="2:11" x14ac:dyDescent="0.25">
      <c r="B22" s="17">
        <v>3</v>
      </c>
      <c r="C22" s="18" t="s">
        <v>41</v>
      </c>
      <c r="D22" s="19" t="s">
        <v>42</v>
      </c>
      <c r="E22" s="18" t="s">
        <v>43</v>
      </c>
      <c r="F22" s="20">
        <v>24</v>
      </c>
      <c r="G22" s="18" t="s">
        <v>20</v>
      </c>
      <c r="H22" s="20">
        <v>1500</v>
      </c>
      <c r="J22" s="2" t="s">
        <v>21</v>
      </c>
      <c r="K22" s="2">
        <v>88</v>
      </c>
    </row>
    <row r="23" ht="12.75" customHeight="1" spans="2:8" x14ac:dyDescent="0.25">
      <c r="B23" s="22" t="s">
        <v>34</v>
      </c>
      <c r="C23" s="23"/>
      <c r="D23" s="23"/>
      <c r="E23" s="23"/>
      <c r="F23" s="24"/>
      <c r="G23" s="25">
        <f>SUM(H20:H22)</f>
        <v>4500</v>
      </c>
      <c r="H23" s="26"/>
    </row>
    <row r="24" ht="12.75" customHeight="1" spans="2:8" x14ac:dyDescent="0.25">
      <c r="B24" s="22"/>
      <c r="C24" s="23"/>
      <c r="D24" s="23"/>
      <c r="E24" s="23"/>
      <c r="F24" s="24"/>
      <c r="G24" s="25"/>
      <c r="H24" s="26"/>
    </row>
    <row r="25" ht="12.75" customHeight="1" spans="2:8" x14ac:dyDescent="0.25">
      <c r="B25" s="22"/>
      <c r="C25" s="23"/>
      <c r="D25" s="23"/>
      <c r="E25" s="23"/>
      <c r="F25" s="24"/>
      <c r="G25" s="25"/>
      <c r="H25" s="26"/>
    </row>
    <row r="26" ht="18.75" customHeight="1" spans="2:8" s="1" customFormat="1" x14ac:dyDescent="0.25">
      <c r="B26" s="12" t="s">
        <v>44</v>
      </c>
      <c r="C26" s="12"/>
      <c r="D26" s="12"/>
      <c r="E26" s="12"/>
      <c r="F26" s="12"/>
      <c r="G26" s="12"/>
      <c r="H26" s="12"/>
    </row>
    <row r="27" ht="75" customHeight="1" spans="2:11" s="27" customFormat="1" x14ac:dyDescent="0.25">
      <c r="B27" s="28">
        <v>1</v>
      </c>
      <c r="C27" s="28" t="s">
        <v>45</v>
      </c>
      <c r="D27" s="28" t="s">
        <v>23</v>
      </c>
      <c r="E27" s="28" t="s">
        <v>46</v>
      </c>
      <c r="F27" s="29">
        <v>25</v>
      </c>
      <c r="G27" s="28" t="s">
        <v>20</v>
      </c>
      <c r="H27" s="29">
        <v>1500</v>
      </c>
      <c r="I27" s="30"/>
      <c r="J27" s="31" t="s">
        <v>47</v>
      </c>
      <c r="K27" s="32">
        <v>3</v>
      </c>
    </row>
    <row r="28" ht="68.25" customHeight="1" spans="2:11" s="27" customFormat="1" x14ac:dyDescent="0.25">
      <c r="B28" s="28">
        <f t="shared" ref="B28:B32" si="0">B27+1</f>
        <v>2</v>
      </c>
      <c r="C28" s="28" t="s">
        <v>48</v>
      </c>
      <c r="D28" s="28" t="s">
        <v>49</v>
      </c>
      <c r="E28" s="28" t="s">
        <v>50</v>
      </c>
      <c r="F28" s="29">
        <v>24</v>
      </c>
      <c r="G28" s="28" t="s">
        <v>20</v>
      </c>
      <c r="H28" s="29">
        <v>1500</v>
      </c>
      <c r="I28" s="30"/>
      <c r="J28" s="31" t="s">
        <v>47</v>
      </c>
      <c r="K28" s="32">
        <v>7</v>
      </c>
    </row>
    <row r="29" ht="57.75" customHeight="1" spans="2:11" s="27" customFormat="1" x14ac:dyDescent="0.25">
      <c r="B29" s="28">
        <f t="shared" si="0"/>
        <v>3</v>
      </c>
      <c r="C29" s="28" t="s">
        <v>51</v>
      </c>
      <c r="D29" s="28" t="s">
        <v>49</v>
      </c>
      <c r="E29" s="28" t="s">
        <v>52</v>
      </c>
      <c r="F29" s="29">
        <v>15</v>
      </c>
      <c r="G29" s="28" t="s">
        <v>20</v>
      </c>
      <c r="H29" s="29">
        <v>1500</v>
      </c>
      <c r="I29" s="30"/>
      <c r="J29" s="31" t="s">
        <v>47</v>
      </c>
      <c r="K29" s="32">
        <v>8</v>
      </c>
    </row>
    <row r="30" ht="67.5" customHeight="1" spans="2:11" s="27" customFormat="1" x14ac:dyDescent="0.25">
      <c r="B30" s="28">
        <f t="shared" si="0"/>
        <v>4</v>
      </c>
      <c r="C30" s="28" t="s">
        <v>53</v>
      </c>
      <c r="D30" s="28" t="s">
        <v>54</v>
      </c>
      <c r="E30" s="28" t="s">
        <v>55</v>
      </c>
      <c r="F30" s="29">
        <v>25</v>
      </c>
      <c r="G30" s="28" t="s">
        <v>20</v>
      </c>
      <c r="H30" s="29">
        <v>1500</v>
      </c>
      <c r="I30" s="30"/>
      <c r="J30" s="31" t="s">
        <v>47</v>
      </c>
      <c r="K30" s="32">
        <v>15</v>
      </c>
    </row>
    <row r="31" ht="39" customHeight="1" spans="2:11" s="27" customFormat="1" x14ac:dyDescent="0.25">
      <c r="B31" s="28">
        <f t="shared" si="0"/>
        <v>5</v>
      </c>
      <c r="C31" s="28" t="s">
        <v>56</v>
      </c>
      <c r="D31" s="28" t="s">
        <v>57</v>
      </c>
      <c r="E31" s="28" t="s">
        <v>58</v>
      </c>
      <c r="F31" s="29">
        <v>36</v>
      </c>
      <c r="G31" s="28" t="s">
        <v>20</v>
      </c>
      <c r="H31" s="29">
        <v>1500</v>
      </c>
      <c r="I31" s="30"/>
      <c r="J31" s="31" t="s">
        <v>47</v>
      </c>
      <c r="K31" s="32">
        <v>16</v>
      </c>
    </row>
    <row r="32" ht="61.5" customHeight="1" spans="2:11" s="27" customFormat="1" x14ac:dyDescent="0.25">
      <c r="B32" s="28">
        <f t="shared" si="0"/>
        <v>6</v>
      </c>
      <c r="C32" s="28" t="s">
        <v>59</v>
      </c>
      <c r="D32" s="28" t="s">
        <v>60</v>
      </c>
      <c r="E32" s="28" t="s">
        <v>61</v>
      </c>
      <c r="F32" s="29">
        <v>28</v>
      </c>
      <c r="G32" s="28" t="s">
        <v>20</v>
      </c>
      <c r="H32" s="29">
        <v>1500</v>
      </c>
      <c r="I32" s="30"/>
      <c r="J32" s="31" t="s">
        <v>47</v>
      </c>
      <c r="K32" s="32">
        <v>27</v>
      </c>
    </row>
    <row r="33" ht="65" customHeight="1" spans="2:11" s="27" customFormat="1" x14ac:dyDescent="0.25">
      <c r="B33" s="28">
        <v>7</v>
      </c>
      <c r="C33" s="28" t="s">
        <v>62</v>
      </c>
      <c r="D33" s="28" t="s">
        <v>63</v>
      </c>
      <c r="E33" s="28" t="s">
        <v>64</v>
      </c>
      <c r="F33" s="29">
        <v>25</v>
      </c>
      <c r="G33" s="28" t="s">
        <v>20</v>
      </c>
      <c r="H33" s="29">
        <v>1500</v>
      </c>
      <c r="I33" s="30"/>
      <c r="J33" s="31" t="s">
        <v>47</v>
      </c>
      <c r="K33" s="32">
        <v>28</v>
      </c>
    </row>
    <row r="34" ht="39" customHeight="1" spans="2:11" s="27" customFormat="1" x14ac:dyDescent="0.25">
      <c r="B34" s="28">
        <v>8</v>
      </c>
      <c r="C34" s="28" t="s">
        <v>65</v>
      </c>
      <c r="D34" s="28" t="s">
        <v>63</v>
      </c>
      <c r="E34" s="28" t="s">
        <v>66</v>
      </c>
      <c r="F34" s="29">
        <v>6</v>
      </c>
      <c r="G34" s="28" t="s">
        <v>20</v>
      </c>
      <c r="H34" s="29">
        <v>1500</v>
      </c>
      <c r="I34" s="30"/>
      <c r="J34" s="31" t="s">
        <v>47</v>
      </c>
      <c r="K34" s="32">
        <v>30</v>
      </c>
    </row>
    <row r="35" ht="60" customHeight="1" spans="2:11" s="27" customFormat="1" x14ac:dyDescent="0.25">
      <c r="B35" s="28">
        <v>9</v>
      </c>
      <c r="C35" s="28" t="s">
        <v>67</v>
      </c>
      <c r="D35" s="28" t="s">
        <v>68</v>
      </c>
      <c r="E35" s="28" t="s">
        <v>69</v>
      </c>
      <c r="F35" s="29">
        <v>5</v>
      </c>
      <c r="G35" s="28" t="s">
        <v>20</v>
      </c>
      <c r="H35" s="29">
        <v>1500</v>
      </c>
      <c r="I35" s="30"/>
      <c r="J35" s="31" t="s">
        <v>47</v>
      </c>
      <c r="K35" s="32">
        <v>42</v>
      </c>
    </row>
    <row r="36" ht="13" customHeight="1" spans="2:11" s="27" customFormat="1" x14ac:dyDescent="0.25">
      <c r="B36" s="33"/>
      <c r="C36" s="34"/>
      <c r="D36" s="34"/>
      <c r="E36" s="34"/>
      <c r="F36" s="35"/>
      <c r="G36" s="33"/>
      <c r="H36" s="35"/>
      <c r="I36" s="30"/>
      <c r="J36" s="31"/>
      <c r="K36" s="32"/>
    </row>
    <row r="37" ht="15" customHeight="1" spans="2:8" x14ac:dyDescent="0.25">
      <c r="B37" s="22" t="s">
        <v>34</v>
      </c>
      <c r="C37" s="23"/>
      <c r="D37" s="23"/>
      <c r="E37" s="23"/>
      <c r="F37" s="24"/>
      <c r="G37" s="25">
        <f>SUM(H27:H35)</f>
        <v>13500</v>
      </c>
      <c r="H37" s="26"/>
    </row>
    <row r="38" ht="15" customHeight="1" spans="2:8" x14ac:dyDescent="0.25">
      <c r="B38" s="22"/>
      <c r="C38" s="23"/>
      <c r="D38" s="23"/>
      <c r="E38" s="23"/>
      <c r="F38" s="24"/>
      <c r="G38" s="25"/>
      <c r="H38" s="26"/>
    </row>
    <row r="39" ht="16.5" customHeight="1" spans="2:8" x14ac:dyDescent="0.25">
      <c r="B39" s="12" t="s">
        <v>70</v>
      </c>
      <c r="C39" s="12"/>
      <c r="D39" s="12"/>
      <c r="E39" s="12"/>
      <c r="F39" s="12"/>
      <c r="G39" s="12"/>
      <c r="H39" s="12"/>
    </row>
    <row r="40" ht="64.5" customHeight="1" spans="2:11" s="27" customFormat="1" x14ac:dyDescent="0.25">
      <c r="B40" s="28">
        <v>1</v>
      </c>
      <c r="C40" s="28" t="s">
        <v>71</v>
      </c>
      <c r="D40" s="28" t="s">
        <v>23</v>
      </c>
      <c r="E40" s="28" t="s">
        <v>72</v>
      </c>
      <c r="F40" s="29">
        <v>12</v>
      </c>
      <c r="G40" s="28" t="s">
        <v>20</v>
      </c>
      <c r="H40" s="29">
        <v>1500</v>
      </c>
      <c r="I40" s="30"/>
      <c r="J40" s="31" t="s">
        <v>73</v>
      </c>
      <c r="K40" s="32">
        <v>4</v>
      </c>
    </row>
    <row r="41" ht="64.5" customHeight="1" spans="2:11" s="27" customFormat="1" x14ac:dyDescent="0.25">
      <c r="B41" s="28">
        <v>2</v>
      </c>
      <c r="C41" s="28" t="s">
        <v>74</v>
      </c>
      <c r="D41" s="28" t="s">
        <v>23</v>
      </c>
      <c r="E41" s="28" t="s">
        <v>75</v>
      </c>
      <c r="F41" s="29">
        <v>4</v>
      </c>
      <c r="G41" s="28" t="s">
        <v>20</v>
      </c>
      <c r="H41" s="29">
        <v>1500</v>
      </c>
      <c r="I41" s="30"/>
      <c r="J41" s="31" t="s">
        <v>73</v>
      </c>
      <c r="K41" s="32">
        <v>6</v>
      </c>
    </row>
    <row r="42" ht="71.25" customHeight="1" spans="2:11" s="27" customFormat="1" x14ac:dyDescent="0.25">
      <c r="B42" s="28">
        <v>3</v>
      </c>
      <c r="C42" s="28" t="s">
        <v>76</v>
      </c>
      <c r="D42" s="28" t="s">
        <v>57</v>
      </c>
      <c r="E42" s="28" t="s">
        <v>77</v>
      </c>
      <c r="F42" s="29">
        <v>75</v>
      </c>
      <c r="G42" s="28" t="s">
        <v>20</v>
      </c>
      <c r="H42" s="29">
        <v>1500</v>
      </c>
      <c r="I42" s="30"/>
      <c r="J42" s="31" t="s">
        <v>73</v>
      </c>
      <c r="K42" s="32">
        <v>15</v>
      </c>
    </row>
    <row r="43" ht="81.75" customHeight="1" spans="2:11" s="27" customFormat="1" x14ac:dyDescent="0.25">
      <c r="B43" s="28">
        <v>4</v>
      </c>
      <c r="C43" s="28" t="s">
        <v>78</v>
      </c>
      <c r="D43" s="28" t="s">
        <v>79</v>
      </c>
      <c r="E43" s="28" t="s">
        <v>80</v>
      </c>
      <c r="F43" s="29">
        <v>39</v>
      </c>
      <c r="G43" s="28" t="s">
        <v>20</v>
      </c>
      <c r="H43" s="29">
        <v>1500</v>
      </c>
      <c r="I43" s="30"/>
      <c r="J43" s="31" t="s">
        <v>73</v>
      </c>
      <c r="K43" s="32">
        <v>29</v>
      </c>
    </row>
    <row r="44" ht="81.75" customHeight="1" spans="2:11" s="27" customFormat="1" x14ac:dyDescent="0.25">
      <c r="B44" s="28">
        <v>5</v>
      </c>
      <c r="C44" s="28" t="s">
        <v>81</v>
      </c>
      <c r="D44" s="28" t="s">
        <v>82</v>
      </c>
      <c r="E44" s="28" t="s">
        <v>83</v>
      </c>
      <c r="F44" s="29">
        <v>7</v>
      </c>
      <c r="G44" s="28" t="s">
        <v>20</v>
      </c>
      <c r="H44" s="29">
        <v>1500</v>
      </c>
      <c r="I44" s="30"/>
      <c r="J44" s="31" t="s">
        <v>73</v>
      </c>
      <c r="K44" s="32">
        <v>30</v>
      </c>
    </row>
    <row r="45" ht="82.5" customHeight="1" spans="2:11" s="27" customFormat="1" x14ac:dyDescent="0.25">
      <c r="B45" s="28">
        <v>6</v>
      </c>
      <c r="C45" s="28" t="s">
        <v>84</v>
      </c>
      <c r="D45" s="28" t="s">
        <v>82</v>
      </c>
      <c r="E45" s="28" t="s">
        <v>85</v>
      </c>
      <c r="F45" s="29">
        <v>77</v>
      </c>
      <c r="G45" s="28" t="s">
        <v>20</v>
      </c>
      <c r="H45" s="29">
        <v>1500</v>
      </c>
      <c r="I45" s="30"/>
      <c r="J45" s="31" t="s">
        <v>73</v>
      </c>
      <c r="K45" s="32">
        <v>31</v>
      </c>
    </row>
    <row r="46" ht="67.5" customHeight="1" spans="2:11" s="27" customFormat="1" x14ac:dyDescent="0.25">
      <c r="B46" s="28">
        <v>7</v>
      </c>
      <c r="C46" s="28" t="s">
        <v>86</v>
      </c>
      <c r="D46" s="28" t="s">
        <v>87</v>
      </c>
      <c r="E46" s="28" t="s">
        <v>88</v>
      </c>
      <c r="F46" s="29">
        <v>26</v>
      </c>
      <c r="G46" s="28" t="s">
        <v>20</v>
      </c>
      <c r="H46" s="29">
        <v>1500</v>
      </c>
      <c r="I46" s="30"/>
      <c r="J46" s="31" t="s">
        <v>73</v>
      </c>
      <c r="K46" s="32">
        <v>35</v>
      </c>
    </row>
    <row r="47" ht="55.5" customHeight="1" spans="2:11" s="27" customFormat="1" x14ac:dyDescent="0.25">
      <c r="B47" s="28">
        <v>8</v>
      </c>
      <c r="C47" s="28" t="s">
        <v>89</v>
      </c>
      <c r="D47" s="28" t="s">
        <v>26</v>
      </c>
      <c r="E47" s="28" t="s">
        <v>90</v>
      </c>
      <c r="F47" s="29">
        <v>65</v>
      </c>
      <c r="G47" s="28" t="s">
        <v>20</v>
      </c>
      <c r="H47" s="29">
        <v>1500</v>
      </c>
      <c r="I47" s="30"/>
      <c r="J47" s="31" t="s">
        <v>73</v>
      </c>
      <c r="K47" s="32">
        <v>44</v>
      </c>
    </row>
    <row r="48" ht="66.75" customHeight="1" spans="2:11" s="27" customFormat="1" x14ac:dyDescent="0.25">
      <c r="B48" s="28">
        <v>9</v>
      </c>
      <c r="C48" s="28" t="s">
        <v>91</v>
      </c>
      <c r="D48" s="28" t="s">
        <v>60</v>
      </c>
      <c r="E48" s="28" t="s">
        <v>92</v>
      </c>
      <c r="F48" s="29">
        <v>25</v>
      </c>
      <c r="G48" s="28" t="s">
        <v>20</v>
      </c>
      <c r="H48" s="29">
        <v>1500</v>
      </c>
      <c r="I48" s="30"/>
      <c r="J48" s="31" t="s">
        <v>73</v>
      </c>
      <c r="K48" s="32">
        <v>47</v>
      </c>
    </row>
    <row r="49" ht="81.75" customHeight="1" spans="2:11" s="27" customFormat="1" x14ac:dyDescent="0.25">
      <c r="B49" s="28">
        <v>10</v>
      </c>
      <c r="C49" s="28" t="s">
        <v>93</v>
      </c>
      <c r="D49" s="28" t="s">
        <v>60</v>
      </c>
      <c r="E49" s="28" t="s">
        <v>94</v>
      </c>
      <c r="F49" s="29">
        <v>84</v>
      </c>
      <c r="G49" s="28" t="s">
        <v>20</v>
      </c>
      <c r="H49" s="29">
        <v>1500</v>
      </c>
      <c r="I49" s="30"/>
      <c r="J49" s="31" t="s">
        <v>73</v>
      </c>
      <c r="K49" s="32">
        <v>48</v>
      </c>
    </row>
    <row r="50" ht="72.75" customHeight="1" spans="2:11" s="27" customFormat="1" x14ac:dyDescent="0.25">
      <c r="B50" s="28">
        <v>11</v>
      </c>
      <c r="C50" s="28" t="s">
        <v>95</v>
      </c>
      <c r="D50" s="28" t="s">
        <v>42</v>
      </c>
      <c r="E50" s="28" t="s">
        <v>96</v>
      </c>
      <c r="F50" s="29">
        <v>32</v>
      </c>
      <c r="G50" s="28" t="s">
        <v>20</v>
      </c>
      <c r="H50" s="29">
        <v>1500</v>
      </c>
      <c r="I50" s="30"/>
      <c r="J50" s="31" t="s">
        <v>73</v>
      </c>
      <c r="K50" s="32">
        <v>57</v>
      </c>
    </row>
    <row r="51" ht="81.75" customHeight="1" spans="2:11" s="27" customFormat="1" x14ac:dyDescent="0.25">
      <c r="B51" s="28">
        <v>12</v>
      </c>
      <c r="C51" s="28" t="s">
        <v>97</v>
      </c>
      <c r="D51" s="28" t="s">
        <v>98</v>
      </c>
      <c r="E51" s="28" t="s">
        <v>99</v>
      </c>
      <c r="F51" s="29">
        <v>1</v>
      </c>
      <c r="G51" s="28" t="s">
        <v>20</v>
      </c>
      <c r="H51" s="29">
        <v>1500</v>
      </c>
      <c r="I51" s="30"/>
      <c r="J51" s="31" t="s">
        <v>73</v>
      </c>
      <c r="K51" s="32">
        <v>61</v>
      </c>
    </row>
    <row r="52" ht="81.75" customHeight="1" spans="2:11" s="27" customFormat="1" x14ac:dyDescent="0.25">
      <c r="B52" s="28">
        <v>13</v>
      </c>
      <c r="C52" s="28" t="s">
        <v>100</v>
      </c>
      <c r="D52" s="28" t="s">
        <v>101</v>
      </c>
      <c r="E52" s="28" t="s">
        <v>102</v>
      </c>
      <c r="F52" s="29">
        <v>73</v>
      </c>
      <c r="G52" s="28" t="s">
        <v>103</v>
      </c>
      <c r="H52" s="29">
        <v>750</v>
      </c>
      <c r="I52" s="30"/>
      <c r="J52" s="31" t="s">
        <v>73</v>
      </c>
      <c r="K52" s="32">
        <v>82</v>
      </c>
    </row>
    <row r="53" ht="15.75" customHeight="1" spans="2:11" x14ac:dyDescent="0.25">
      <c r="B53" s="22" t="s">
        <v>34</v>
      </c>
      <c r="C53" s="23"/>
      <c r="D53" s="23"/>
      <c r="E53" s="23"/>
      <c r="F53" s="24"/>
      <c r="G53" s="36"/>
      <c r="H53" s="37">
        <f>SUM(H40:H52)</f>
        <v>18750</v>
      </c>
      <c r="K53" s="1"/>
    </row>
    <row r="54" ht="15.75" customHeight="1" spans="2:11" x14ac:dyDescent="0.25">
      <c r="B54" s="22"/>
      <c r="C54" s="23"/>
      <c r="D54" s="23"/>
      <c r="E54" s="23"/>
      <c r="F54" s="24"/>
      <c r="G54" s="25"/>
      <c r="H54" s="26"/>
      <c r="K54" s="1"/>
    </row>
    <row r="55" ht="15.75" customHeight="1" spans="2:11" x14ac:dyDescent="0.25">
      <c r="B55" s="12" t="s">
        <v>104</v>
      </c>
      <c r="C55" s="12"/>
      <c r="D55" s="12"/>
      <c r="E55" s="12"/>
      <c r="F55" s="12"/>
      <c r="G55" s="12"/>
      <c r="H55" s="12"/>
      <c r="K55" s="1"/>
    </row>
    <row r="56" ht="86.25" customHeight="1" spans="2:11" x14ac:dyDescent="0.25">
      <c r="B56" s="28">
        <v>1</v>
      </c>
      <c r="C56" s="28" t="s">
        <v>105</v>
      </c>
      <c r="D56" s="28" t="s">
        <v>57</v>
      </c>
      <c r="E56" s="28" t="s">
        <v>106</v>
      </c>
      <c r="F56" s="29">
        <v>39</v>
      </c>
      <c r="G56" s="28" t="s">
        <v>20</v>
      </c>
      <c r="H56" s="29">
        <v>1500</v>
      </c>
      <c r="I56" s="30"/>
      <c r="J56" s="31" t="s">
        <v>73</v>
      </c>
      <c r="K56" s="32">
        <v>23</v>
      </c>
    </row>
    <row r="57" ht="18" customHeight="1" spans="2:11" x14ac:dyDescent="0.25">
      <c r="B57" s="22"/>
      <c r="C57" s="23"/>
      <c r="D57" s="23"/>
      <c r="E57" s="23" t="s">
        <v>34</v>
      </c>
      <c r="F57" s="24"/>
      <c r="G57" s="38">
        <f>H56</f>
        <v>1500</v>
      </c>
      <c r="H57" s="39"/>
      <c r="I57" s="30"/>
      <c r="J57" s="31"/>
      <c r="K57" s="32"/>
    </row>
    <row r="58" ht="18" customHeight="1" spans="2:11" x14ac:dyDescent="0.25">
      <c r="B58" s="22"/>
      <c r="C58" s="23"/>
      <c r="D58" s="23"/>
      <c r="E58" s="23"/>
      <c r="F58" s="24"/>
      <c r="G58" s="38"/>
      <c r="H58" s="39"/>
      <c r="I58" s="30"/>
      <c r="J58" s="31"/>
      <c r="K58" s="32"/>
    </row>
    <row r="59" ht="15.75" customHeight="1" spans="2:11" x14ac:dyDescent="0.25">
      <c r="B59" s="12" t="s">
        <v>107</v>
      </c>
      <c r="C59" s="12"/>
      <c r="D59" s="12"/>
      <c r="E59" s="12"/>
      <c r="F59" s="12"/>
      <c r="G59" s="12"/>
      <c r="H59" s="12"/>
      <c r="K59" s="1"/>
    </row>
    <row r="60" ht="86.25" customHeight="1" spans="2:11" x14ac:dyDescent="0.25">
      <c r="B60" s="28">
        <v>1</v>
      </c>
      <c r="C60" s="28" t="s">
        <v>108</v>
      </c>
      <c r="D60" s="28" t="s">
        <v>109</v>
      </c>
      <c r="E60" s="28" t="s">
        <v>110</v>
      </c>
      <c r="F60" s="29">
        <v>46</v>
      </c>
      <c r="G60" s="28" t="s">
        <v>20</v>
      </c>
      <c r="H60" s="29">
        <v>1500</v>
      </c>
      <c r="I60" s="30"/>
      <c r="J60" s="31" t="s">
        <v>73</v>
      </c>
      <c r="K60" s="32">
        <v>37</v>
      </c>
    </row>
    <row r="61" ht="86.25" customHeight="1" spans="2:11" x14ac:dyDescent="0.25">
      <c r="B61" s="28">
        <v>2</v>
      </c>
      <c r="C61" s="28" t="s">
        <v>111</v>
      </c>
      <c r="D61" s="28" t="s">
        <v>98</v>
      </c>
      <c r="E61" s="28" t="s">
        <v>112</v>
      </c>
      <c r="F61" s="29">
        <v>26</v>
      </c>
      <c r="G61" s="28" t="s">
        <v>20</v>
      </c>
      <c r="H61" s="29">
        <v>1500</v>
      </c>
      <c r="I61" s="30"/>
      <c r="J61" s="31" t="s">
        <v>73</v>
      </c>
      <c r="K61" s="32">
        <v>62</v>
      </c>
    </row>
    <row r="62" ht="86.25" customHeight="1" spans="2:11" x14ac:dyDescent="0.25">
      <c r="B62" s="28">
        <v>3</v>
      </c>
      <c r="C62" s="28" t="s">
        <v>113</v>
      </c>
      <c r="D62" s="28" t="s">
        <v>114</v>
      </c>
      <c r="E62" s="28" t="s">
        <v>115</v>
      </c>
      <c r="F62" s="29">
        <v>104</v>
      </c>
      <c r="G62" s="28" t="s">
        <v>20</v>
      </c>
      <c r="H62" s="29">
        <v>1500</v>
      </c>
      <c r="I62" s="30"/>
      <c r="J62" s="31" t="s">
        <v>73</v>
      </c>
      <c r="K62" s="32">
        <v>78</v>
      </c>
    </row>
    <row r="63" ht="18" customHeight="1" spans="2:11" x14ac:dyDescent="0.25">
      <c r="B63" s="22"/>
      <c r="C63" s="23"/>
      <c r="D63" s="23"/>
      <c r="E63" s="23" t="s">
        <v>34</v>
      </c>
      <c r="F63" s="24"/>
      <c r="G63" s="38">
        <f>SUM(H60:H62)</f>
        <v>4500</v>
      </c>
      <c r="H63" s="39"/>
      <c r="I63" s="30"/>
      <c r="J63" s="31"/>
      <c r="K63" s="32"/>
    </row>
    <row r="64" ht="18" customHeight="1" spans="2:11" x14ac:dyDescent="0.25">
      <c r="B64" s="22"/>
      <c r="C64" s="23"/>
      <c r="D64" s="23"/>
      <c r="E64" s="23"/>
      <c r="F64" s="24"/>
      <c r="G64" s="38"/>
      <c r="H64" s="39"/>
      <c r="I64" s="30"/>
      <c r="J64" s="31"/>
      <c r="K64" s="32"/>
    </row>
    <row r="65" ht="15.75" customHeight="1" spans="2:11" x14ac:dyDescent="0.25">
      <c r="B65" s="12" t="s">
        <v>116</v>
      </c>
      <c r="C65" s="12"/>
      <c r="D65" s="12"/>
      <c r="E65" s="12"/>
      <c r="F65" s="12"/>
      <c r="G65" s="12"/>
      <c r="H65" s="12"/>
      <c r="K65" s="1"/>
    </row>
    <row r="66" ht="86.25" customHeight="1" spans="2:11" x14ac:dyDescent="0.25">
      <c r="B66" s="28">
        <v>1</v>
      </c>
      <c r="C66" s="28" t="s">
        <v>117</v>
      </c>
      <c r="D66" s="28" t="s">
        <v>18</v>
      </c>
      <c r="E66" s="28" t="s">
        <v>118</v>
      </c>
      <c r="F66" s="29">
        <v>15</v>
      </c>
      <c r="G66" s="28" t="s">
        <v>20</v>
      </c>
      <c r="H66" s="29">
        <v>1500</v>
      </c>
      <c r="I66" s="30"/>
      <c r="J66" s="31" t="s">
        <v>21</v>
      </c>
      <c r="K66" s="32">
        <v>9</v>
      </c>
    </row>
    <row r="67" ht="103.5" customHeight="1" spans="2:11" x14ac:dyDescent="0.25">
      <c r="B67" s="28">
        <v>2</v>
      </c>
      <c r="C67" s="28" t="s">
        <v>119</v>
      </c>
      <c r="D67" s="28" t="s">
        <v>120</v>
      </c>
      <c r="E67" s="28" t="s">
        <v>121</v>
      </c>
      <c r="F67" s="29">
        <v>43</v>
      </c>
      <c r="G67" s="28" t="s">
        <v>20</v>
      </c>
      <c r="H67" s="29">
        <v>1500</v>
      </c>
      <c r="I67" s="30"/>
      <c r="J67" s="31" t="s">
        <v>21</v>
      </c>
      <c r="K67" s="32">
        <v>37</v>
      </c>
    </row>
    <row r="68" ht="86.25" customHeight="1" spans="2:11" x14ac:dyDescent="0.25">
      <c r="B68" s="28">
        <v>3</v>
      </c>
      <c r="C68" s="28" t="s">
        <v>122</v>
      </c>
      <c r="D68" s="28" t="s">
        <v>109</v>
      </c>
      <c r="E68" s="28" t="s">
        <v>123</v>
      </c>
      <c r="F68" s="29">
        <v>3.5</v>
      </c>
      <c r="G68" s="28" t="s">
        <v>20</v>
      </c>
      <c r="H68" s="29">
        <v>1500</v>
      </c>
      <c r="I68" s="30"/>
      <c r="J68" s="31" t="s">
        <v>21</v>
      </c>
      <c r="K68" s="32">
        <v>64</v>
      </c>
    </row>
    <row r="69" ht="86.25" customHeight="1" spans="2:11" x14ac:dyDescent="0.25">
      <c r="B69" s="28">
        <v>4</v>
      </c>
      <c r="C69" s="28" t="s">
        <v>124</v>
      </c>
      <c r="D69" s="28">
        <v>13.072026</v>
      </c>
      <c r="E69" s="28" t="s">
        <v>125</v>
      </c>
      <c r="F69" s="29">
        <v>15</v>
      </c>
      <c r="G69" s="28" t="s">
        <v>20</v>
      </c>
      <c r="H69" s="29">
        <v>1500</v>
      </c>
      <c r="I69" s="30"/>
      <c r="J69" s="31" t="s">
        <v>21</v>
      </c>
      <c r="K69" s="32">
        <v>65</v>
      </c>
    </row>
    <row r="70" ht="86.25" customHeight="1" spans="2:15" x14ac:dyDescent="0.25">
      <c r="B70" s="28">
        <v>5</v>
      </c>
      <c r="C70" s="28" t="s">
        <v>126</v>
      </c>
      <c r="D70" s="28" t="s">
        <v>42</v>
      </c>
      <c r="E70" s="28" t="s">
        <v>127</v>
      </c>
      <c r="F70" s="29">
        <v>3</v>
      </c>
      <c r="G70" s="28" t="s">
        <v>20</v>
      </c>
      <c r="H70" s="29">
        <v>1500</v>
      </c>
      <c r="I70" s="30"/>
      <c r="J70" s="31" t="s">
        <v>21</v>
      </c>
      <c r="K70" s="32">
        <v>90</v>
      </c>
      <c r="O70" s="1">
        <v>8</v>
      </c>
    </row>
    <row r="71" ht="86.25" customHeight="1" spans="2:15" x14ac:dyDescent="0.25">
      <c r="B71" s="28">
        <v>6</v>
      </c>
      <c r="C71" s="28" t="s">
        <v>128</v>
      </c>
      <c r="D71" s="28" t="s">
        <v>129</v>
      </c>
      <c r="E71" s="28" t="s">
        <v>130</v>
      </c>
      <c r="F71" s="29">
        <v>9</v>
      </c>
      <c r="G71" s="28" t="s">
        <v>20</v>
      </c>
      <c r="H71" s="29">
        <v>1500</v>
      </c>
      <c r="I71" s="30"/>
      <c r="J71" s="31" t="s">
        <v>21</v>
      </c>
      <c r="K71" s="32">
        <v>102</v>
      </c>
      <c r="O71" s="1">
        <v>6.2026</v>
      </c>
    </row>
    <row r="72" ht="86.25" customHeight="1" spans="2:11" s="1" customFormat="1" x14ac:dyDescent="0.25">
      <c r="B72" s="28">
        <v>7</v>
      </c>
      <c r="C72" s="28" t="s">
        <v>131</v>
      </c>
      <c r="D72" s="28" t="s">
        <v>132</v>
      </c>
      <c r="E72" s="28" t="s">
        <v>133</v>
      </c>
      <c r="F72" s="29">
        <v>38</v>
      </c>
      <c r="G72" s="28" t="s">
        <v>20</v>
      </c>
      <c r="H72" s="29">
        <v>1500</v>
      </c>
      <c r="I72" s="30"/>
      <c r="J72" s="31" t="s">
        <v>21</v>
      </c>
      <c r="K72" s="32">
        <v>118</v>
      </c>
    </row>
    <row r="73" ht="86.25" customHeight="1" spans="2:11" s="1" customFormat="1" x14ac:dyDescent="0.25">
      <c r="B73" s="28">
        <v>8</v>
      </c>
      <c r="C73" s="28" t="s">
        <v>134</v>
      </c>
      <c r="D73" s="28" t="s">
        <v>132</v>
      </c>
      <c r="E73" s="28" t="s">
        <v>135</v>
      </c>
      <c r="F73" s="29">
        <v>53</v>
      </c>
      <c r="G73" s="28" t="s">
        <v>20</v>
      </c>
      <c r="H73" s="29">
        <v>1500</v>
      </c>
      <c r="I73" s="30"/>
      <c r="J73" s="31" t="s">
        <v>21</v>
      </c>
      <c r="K73" s="32">
        <v>117</v>
      </c>
    </row>
    <row r="74" ht="86.25" customHeight="1" spans="2:11" x14ac:dyDescent="0.25">
      <c r="B74" s="28">
        <v>9</v>
      </c>
      <c r="C74" s="28" t="s">
        <v>136</v>
      </c>
      <c r="D74" s="28" t="s">
        <v>137</v>
      </c>
      <c r="E74" s="28" t="s">
        <v>138</v>
      </c>
      <c r="F74" s="29">
        <v>5</v>
      </c>
      <c r="G74" s="28" t="s">
        <v>20</v>
      </c>
      <c r="H74" s="29">
        <v>1500</v>
      </c>
      <c r="I74" s="30"/>
      <c r="J74" s="31" t="s">
        <v>21</v>
      </c>
      <c r="K74" s="32">
        <v>122</v>
      </c>
    </row>
    <row r="75" ht="86.25" customHeight="1" spans="2:11" s="1" customFormat="1" x14ac:dyDescent="0.25">
      <c r="B75" s="28">
        <v>10</v>
      </c>
      <c r="C75" s="28" t="s">
        <v>139</v>
      </c>
      <c r="D75" s="28" t="s">
        <v>140</v>
      </c>
      <c r="E75" s="28" t="s">
        <v>141</v>
      </c>
      <c r="F75" s="29">
        <v>15</v>
      </c>
      <c r="G75" s="28" t="s">
        <v>20</v>
      </c>
      <c r="H75" s="29">
        <v>1500</v>
      </c>
      <c r="I75" s="30"/>
      <c r="J75" s="31" t="s">
        <v>21</v>
      </c>
      <c r="K75" s="32">
        <v>128</v>
      </c>
    </row>
    <row r="76" ht="86.25" customHeight="1" spans="2:11" x14ac:dyDescent="0.25">
      <c r="B76" s="28">
        <v>11</v>
      </c>
      <c r="C76" s="28" t="s">
        <v>142</v>
      </c>
      <c r="D76" s="28" t="s">
        <v>23</v>
      </c>
      <c r="E76" s="28" t="s">
        <v>143</v>
      </c>
      <c r="F76" s="29">
        <v>32</v>
      </c>
      <c r="G76" s="28" t="s">
        <v>20</v>
      </c>
      <c r="H76" s="29">
        <v>1500</v>
      </c>
      <c r="I76" s="30"/>
      <c r="J76" s="31" t="s">
        <v>47</v>
      </c>
      <c r="K76" s="32">
        <v>5</v>
      </c>
    </row>
    <row r="77" ht="86.25" customHeight="1" spans="2:11" x14ac:dyDescent="0.25">
      <c r="B77" s="28">
        <v>12</v>
      </c>
      <c r="C77" s="28" t="s">
        <v>144</v>
      </c>
      <c r="D77" s="28" t="s">
        <v>132</v>
      </c>
      <c r="E77" s="28" t="s">
        <v>145</v>
      </c>
      <c r="F77" s="29">
        <v>9</v>
      </c>
      <c r="G77" s="28" t="s">
        <v>20</v>
      </c>
      <c r="H77" s="29">
        <v>1500</v>
      </c>
      <c r="I77" s="30"/>
      <c r="J77" s="31" t="s">
        <v>21</v>
      </c>
      <c r="K77" s="32">
        <v>138</v>
      </c>
    </row>
    <row r="78" ht="86.25" customHeight="1" spans="2:11" x14ac:dyDescent="0.25">
      <c r="B78" s="28">
        <v>13</v>
      </c>
      <c r="C78" s="28" t="s">
        <v>146</v>
      </c>
      <c r="D78" s="28" t="s">
        <v>147</v>
      </c>
      <c r="E78" s="28" t="s">
        <v>148</v>
      </c>
      <c r="F78" s="29">
        <v>35</v>
      </c>
      <c r="G78" s="28" t="s">
        <v>20</v>
      </c>
      <c r="H78" s="29">
        <v>1500</v>
      </c>
      <c r="I78" s="30"/>
      <c r="J78" s="31" t="s">
        <v>21</v>
      </c>
      <c r="K78" s="32">
        <v>139</v>
      </c>
    </row>
    <row r="79" spans="2:8" x14ac:dyDescent="0.25">
      <c r="B79" s="40"/>
      <c r="H79" s="41"/>
    </row>
    <row r="80" ht="18" customHeight="1" spans="2:11" s="1" customFormat="1" x14ac:dyDescent="0.25">
      <c r="B80" s="22"/>
      <c r="C80" s="23"/>
      <c r="D80" s="23" t="s">
        <v>34</v>
      </c>
      <c r="E80" s="23"/>
      <c r="F80" s="24"/>
      <c r="G80" s="42"/>
      <c r="H80" s="43">
        <f>SUM(H66:H79)</f>
        <v>19500</v>
      </c>
      <c r="I80" s="30"/>
      <c r="J80" s="31"/>
      <c r="K80" s="32"/>
    </row>
    <row r="81" ht="12" customHeight="1" spans="2:11" s="1" customFormat="1" x14ac:dyDescent="0.25">
      <c r="B81" s="33"/>
      <c r="C81" s="34"/>
      <c r="D81" s="34"/>
      <c r="E81" s="34"/>
      <c r="F81" s="35"/>
      <c r="G81" s="33"/>
      <c r="H81" s="35"/>
      <c r="I81" s="30"/>
      <c r="J81" s="31"/>
      <c r="K81" s="32"/>
    </row>
    <row r="82" spans="2:8" s="1" customFormat="1" x14ac:dyDescent="0.25">
      <c r="B82" s="22" t="s">
        <v>149</v>
      </c>
      <c r="C82" s="23"/>
      <c r="D82" s="23"/>
      <c r="E82" s="23"/>
      <c r="F82" s="24"/>
      <c r="G82" s="25">
        <f>G17+G23+G37+H53+G57+G63+H80</f>
        <v>71250</v>
      </c>
      <c r="H82" s="26"/>
    </row>
    <row r="83" spans="2:8" s="1" customFormat="1" x14ac:dyDescent="0.25">
      <c r="B83" s="44" t="s">
        <v>150</v>
      </c>
      <c r="C83" s="44"/>
      <c r="D83" s="44"/>
      <c r="E83" s="44"/>
      <c r="F83" s="44"/>
      <c r="G83" s="44"/>
      <c r="H83" s="44"/>
    </row>
    <row r="84" ht="9" customHeight="1" spans="2:8" s="1" customFormat="1" x14ac:dyDescent="0.25">
      <c r="B84" s="2"/>
      <c r="C84" s="2"/>
      <c r="D84" s="2"/>
      <c r="E84" s="2"/>
      <c r="F84" s="2"/>
      <c r="G84" s="2"/>
      <c r="H84" s="2"/>
    </row>
    <row r="85" ht="18" customHeight="1" spans="2:8" s="1" customFormat="1" x14ac:dyDescent="0.25">
      <c r="B85" s="6"/>
      <c r="C85" s="45" t="s">
        <v>151</v>
      </c>
      <c r="D85" s="45"/>
      <c r="E85" s="45"/>
      <c r="F85" s="6"/>
      <c r="G85" s="6"/>
      <c r="H85" s="6"/>
    </row>
    <row r="86" ht="15.75" customHeight="1" spans="2:8" x14ac:dyDescent="0.25">
      <c r="B86" s="6"/>
      <c r="C86" s="45" t="s">
        <v>152</v>
      </c>
      <c r="D86" s="45"/>
      <c r="E86" s="45"/>
      <c r="F86" s="6"/>
      <c r="G86" s="6"/>
      <c r="H86" s="6"/>
    </row>
    <row r="87" ht="15.75" customHeight="1" spans="2:8" x14ac:dyDescent="0.25">
      <c r="B87" s="6"/>
      <c r="C87" s="45" t="s">
        <v>153</v>
      </c>
      <c r="D87" s="45"/>
      <c r="E87" s="45"/>
      <c r="F87" s="6"/>
      <c r="G87" s="6"/>
      <c r="H87" s="6"/>
    </row>
    <row r="88" ht="15.75" customHeight="1" spans="2:8" x14ac:dyDescent="0.25">
      <c r="B88" s="6"/>
      <c r="C88" s="45" t="s">
        <v>154</v>
      </c>
      <c r="D88" s="45"/>
      <c r="E88" s="45"/>
      <c r="F88" s="6"/>
      <c r="G88" s="6"/>
      <c r="H88" s="6"/>
    </row>
    <row r="89" ht="15.75" customHeight="1" spans="2:8" x14ac:dyDescent="0.25">
      <c r="B89" s="6"/>
      <c r="C89" s="45" t="s">
        <v>155</v>
      </c>
      <c r="D89" s="45"/>
      <c r="E89" s="45"/>
      <c r="F89" s="6"/>
      <c r="G89" s="6"/>
      <c r="H89" s="6"/>
    </row>
    <row r="90" ht="15.75" customHeight="1" spans="2:8" x14ac:dyDescent="0.25">
      <c r="B90" s="6"/>
      <c r="C90" s="45" t="s">
        <v>156</v>
      </c>
      <c r="D90" s="45"/>
      <c r="E90" s="45"/>
      <c r="F90" s="6"/>
      <c r="G90" s="6"/>
      <c r="H90" s="6"/>
    </row>
    <row r="91" spans="2:8" x14ac:dyDescent="0.25">
      <c r="B91" s="2"/>
      <c r="C91" s="2"/>
      <c r="E91" s="2"/>
      <c r="F91" s="2"/>
      <c r="G91" s="2"/>
      <c r="H91" s="2"/>
    </row>
    <row r="92" spans="2:8" x14ac:dyDescent="0.25">
      <c r="B92" s="2"/>
      <c r="C92" s="2"/>
      <c r="E92" s="2"/>
      <c r="F92" s="2"/>
      <c r="G92" s="2"/>
      <c r="H92" s="2"/>
    </row>
    <row r="93" spans="2:8" x14ac:dyDescent="0.25">
      <c r="B93" s="2"/>
      <c r="C93" s="2"/>
      <c r="E93" s="2"/>
      <c r="F93" s="2"/>
      <c r="G93" s="2"/>
      <c r="H93" s="2"/>
    </row>
    <row r="94" spans="2:8" x14ac:dyDescent="0.25">
      <c r="B94" s="2"/>
      <c r="C94" s="2"/>
      <c r="E94" s="2"/>
      <c r="F94" s="2"/>
      <c r="G94" s="2"/>
      <c r="H94" s="2"/>
    </row>
    <row r="95" spans="2:8" x14ac:dyDescent="0.25">
      <c r="B95" s="2"/>
      <c r="C95" s="2"/>
      <c r="E95" s="2"/>
      <c r="F95" s="2"/>
      <c r="G95" s="2"/>
      <c r="H95" s="2"/>
    </row>
    <row r="96" spans="2:8" x14ac:dyDescent="0.25">
      <c r="B96" s="2"/>
      <c r="C96" s="2"/>
      <c r="E96" s="2"/>
      <c r="F96" s="2"/>
      <c r="G96" s="2"/>
      <c r="H96" s="2"/>
    </row>
    <row r="97" spans="2:8" x14ac:dyDescent="0.25">
      <c r="B97" s="2"/>
      <c r="C97" s="2"/>
      <c r="E97" s="2"/>
      <c r="F97" s="2"/>
      <c r="G97" s="2"/>
      <c r="H97" s="2"/>
    </row>
    <row r="98" spans="2:8" x14ac:dyDescent="0.25">
      <c r="B98" s="2"/>
      <c r="C98" s="2"/>
      <c r="E98" s="2"/>
      <c r="F98" s="2"/>
      <c r="G98" s="2"/>
      <c r="H98" s="2"/>
    </row>
    <row r="99" spans="2:11" x14ac:dyDescent="0.25">
      <c r="B99" s="2"/>
      <c r="C99" s="2"/>
      <c r="E99" s="2"/>
      <c r="F99" s="2"/>
      <c r="G99" s="2"/>
      <c r="H99" s="2"/>
      <c r="K99" s="21"/>
    </row>
    <row r="100" spans="2:8" x14ac:dyDescent="0.25">
      <c r="B100" s="2"/>
      <c r="C100" s="2"/>
      <c r="E100" s="2"/>
      <c r="F100" s="2"/>
      <c r="G100" s="2"/>
      <c r="H100" s="2"/>
    </row>
  </sheetData>
  <mergeCells count="35">
    <mergeCell ref="C4:D4"/>
    <mergeCell ref="B5:F5"/>
    <mergeCell ref="B6:F6"/>
    <mergeCell ref="D7:F7"/>
    <mergeCell ref="D8:F8"/>
    <mergeCell ref="J9:K9"/>
    <mergeCell ref="B10:H10"/>
    <mergeCell ref="B17:F17"/>
    <mergeCell ref="G17:H17"/>
    <mergeCell ref="B19:H19"/>
    <mergeCell ref="B23:F23"/>
    <mergeCell ref="G23:H23"/>
    <mergeCell ref="B26:H26"/>
    <mergeCell ref="B37:F37"/>
    <mergeCell ref="G37:H37"/>
    <mergeCell ref="B39:H39"/>
    <mergeCell ref="B53:F53"/>
    <mergeCell ref="B55:H55"/>
    <mergeCell ref="G57:H57"/>
    <mergeCell ref="B59:H59"/>
    <mergeCell ref="G63:H63"/>
    <mergeCell ref="B65:H65"/>
    <mergeCell ref="D80:E80"/>
    <mergeCell ref="B82:F82"/>
    <mergeCell ref="G82:H82"/>
    <mergeCell ref="B83:H83"/>
    <mergeCell ref="B84:H84"/>
    <mergeCell ref="C85:E85"/>
    <mergeCell ref="F85:H90"/>
    <mergeCell ref="B85:B90"/>
    <mergeCell ref="C86:E86"/>
    <mergeCell ref="C87:E87"/>
    <mergeCell ref="C88:E88"/>
    <mergeCell ref="C89:E89"/>
    <mergeCell ref="C90:E9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"/>
  <sheetViews>
    <sheetView workbookViewId="0" zoomScale="100" zoomScaleNormal="100">
      <selection activeCell="A3" sqref="A3"/>
    </sheetView>
  </sheetViews>
  <sheetFormatPr defaultRowHeight="13" outlineLevelRow="0" outlineLevelCol="0" x14ac:dyDescent="0.3" customHeight="1"/>
  <cols>
    <col min="3" max="3" width="65.5" customWidth="1"/>
  </cols>
  <sheetData>
    <row r="1" ht="14.25" customHeight="1" spans="2:8" s="46" customFormat="1" x14ac:dyDescent="0.25">
      <c r="B1" s="47" t="s">
        <v>157</v>
      </c>
      <c r="C1" s="48"/>
      <c r="D1" s="48"/>
      <c r="E1" s="48"/>
      <c r="F1" s="48"/>
      <c r="G1" s="48"/>
      <c r="H1" s="48"/>
    </row>
    <row r="2" ht="14.5" customHeight="1" spans="2:8" s="46" customFormat="1" x14ac:dyDescent="0.25">
      <c r="B2" s="49"/>
      <c r="C2" s="49"/>
      <c r="D2" s="49"/>
      <c r="E2" s="49"/>
      <c r="F2" s="49"/>
      <c r="G2" s="49"/>
      <c r="H2" s="49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</dc:creator>
  <cp:lastModifiedBy>NAVEEN</cp:lastModifiedBy>
  <cp:lastPrinted>2026-08-03T13:26:58Z</cp:lastPrinted>
  <dcterms:created xsi:type="dcterms:W3CDTF">2025-07-10T06:23:14Z</dcterms:created>
  <dcterms:modified xsi:type="dcterms:W3CDTF">2026-08-04T06:11:11Z</dcterms:modified>
</cp:coreProperties>
</file>